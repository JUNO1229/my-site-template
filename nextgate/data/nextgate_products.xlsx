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목록" sheetId="1" state="visible" r:id="rId1"/>
    <sheet xmlns:r="http://schemas.openxmlformats.org/officeDocument/2006/relationships" name="옵션" sheetId="2" state="visible" r:id="rId2"/>
    <sheet xmlns:r="http://schemas.openxmlformats.org/officeDocument/2006/relationships" name="카테고리요약" sheetId="3" state="visible" r:id="rId3"/>
    <sheet xmlns:r="http://schemas.openxmlformats.org/officeDocument/2006/relationships" name="전북·충남" sheetId="4" state="visible" r:id="rId4"/>
    <sheet xmlns:r="http://schemas.openxmlformats.org/officeDocument/2006/relationships" name="워터파크" sheetId="5" state="visible" r:id="rId5"/>
    <sheet xmlns:r="http://schemas.openxmlformats.org/officeDocument/2006/relationships" name="발권대행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analyze.py</author>
  </authors>
  <commentList>
    <comment ref="A12" authorId="0" shapeId="0">
      <text>
        <t>parse.py issue_channel 규칙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4" customWidth="1" min="7" max="7"/>
    <col width="28" customWidth="1" min="8" max="8"/>
    <col width="14" customWidth="1" min="9" max="9"/>
    <col width="14" customWidth="1" min="10" max="10"/>
    <col width="14" customWidth="1" min="11" max="11"/>
    <col width="3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36" customWidth="1" min="21" max="21"/>
    <col width="14" customWidth="1" min="22" max="22"/>
    <col width="40" customWidth="1" min="23" max="23"/>
    <col width="14" customWidth="1" min="24" max="24"/>
    <col width="34" customWidth="1" min="25" max="25"/>
    <col width="14" customWidth="1" min="26" max="26"/>
    <col width="30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product_id</t>
        </is>
      </c>
      <c r="B1" s="1" t="inlineStr">
        <is>
          <t>cat1</t>
        </is>
      </c>
      <c r="C1" s="1" t="inlineStr">
        <is>
          <t>cat2</t>
        </is>
      </c>
      <c r="D1" s="1" t="inlineStr">
        <is>
          <t>sido</t>
        </is>
      </c>
      <c r="E1" s="1" t="inlineStr">
        <is>
          <t>gwon</t>
        </is>
      </c>
      <c r="F1" s="1" t="inlineStr">
        <is>
          <t>region</t>
        </is>
      </c>
      <c r="G1" s="1" t="inlineStr">
        <is>
          <t>name</t>
        </is>
      </c>
      <c r="H1" s="1" t="inlineStr">
        <is>
          <t>tagline</t>
        </is>
      </c>
      <c r="I1" s="1" t="inlineStr">
        <is>
          <t>list_price</t>
        </is>
      </c>
      <c r="J1" s="1" t="inlineStr">
        <is>
          <t>sale_price</t>
        </is>
      </c>
      <c r="K1" s="1" t="inlineStr">
        <is>
          <t>discount_pct</t>
        </is>
      </c>
      <c r="L1" s="1" t="inlineStr">
        <is>
          <t>basis</t>
        </is>
      </c>
      <c r="M1" s="1" t="inlineStr">
        <is>
          <t>option_count</t>
        </is>
      </c>
      <c r="N1" s="1" t="inlineStr">
        <is>
          <t>valid_from</t>
        </is>
      </c>
      <c r="O1" s="1" t="inlineStr">
        <is>
          <t>valid_to</t>
        </is>
      </c>
      <c r="P1" s="1" t="inlineStr">
        <is>
          <t>valid_days</t>
        </is>
      </c>
      <c r="Q1" s="1" t="inlineStr">
        <is>
          <t>badges</t>
        </is>
      </c>
      <c r="R1" s="1" t="inlineStr">
        <is>
          <t>issue_type</t>
        </is>
      </c>
      <c r="S1" s="1" t="inlineStr">
        <is>
          <t>issue_channel</t>
        </is>
      </c>
      <c r="T1" s="1" t="inlineStr">
        <is>
          <t>issue_medium</t>
        </is>
      </c>
      <c r="U1" s="1" t="inlineStr">
        <is>
          <t>usage_method</t>
        </is>
      </c>
      <c r="V1" s="1" t="inlineStr">
        <is>
          <t>max_qty</t>
        </is>
      </c>
      <c r="W1" s="1" t="inlineStr">
        <is>
          <t>refund_rule</t>
        </is>
      </c>
      <c r="X1" s="1" t="inlineStr">
        <is>
          <t>vendor_name</t>
        </is>
      </c>
      <c r="Y1" s="1" t="inlineStr">
        <is>
          <t>vendor_address</t>
        </is>
      </c>
      <c r="Z1" s="1" t="inlineStr">
        <is>
          <t>vendor_phone</t>
        </is>
      </c>
      <c r="AA1" s="1" t="inlineStr">
        <is>
          <t>external_link</t>
        </is>
      </c>
      <c r="AB1" s="1" t="inlineStr">
        <is>
          <t>ticket_div</t>
        </is>
      </c>
      <c r="AC1" s="1" t="inlineStr">
        <is>
          <t>priced</t>
        </is>
      </c>
      <c r="AD1" s="1" t="inlineStr">
        <is>
          <t>check</t>
        </is>
      </c>
      <c r="AE1" s="1" t="inlineStr">
        <is>
          <t>collected_at</t>
        </is>
      </c>
    </row>
    <row r="2">
      <c r="A2" s="2" t="inlineStr">
        <is>
          <t>243478</t>
        </is>
      </c>
      <c r="B2" s="2" t="inlineStr">
        <is>
          <t>삼성미라클안과</t>
        </is>
      </c>
      <c r="C2" s="2" t="inlineStr">
        <is>
          <t>라식·라섹</t>
        </is>
      </c>
      <c r="D2" s="2" t="inlineStr">
        <is>
          <t>서울;충남</t>
        </is>
      </c>
      <c r="E2" s="2" t="inlineStr">
        <is>
          <t>수도권;충청</t>
        </is>
      </c>
      <c r="F2" s="2" t="inlineStr">
        <is>
          <t>서울/천안</t>
        </is>
      </c>
      <c r="G2" s="2" t="inlineStr">
        <is>
          <t>삼성미라클안과 라식·라섹</t>
        </is>
      </c>
      <c r="H2" s="2" t="inlineStr">
        <is>
          <t>삼성미라클 평생시력 1:1 책임관리 프로그램</t>
        </is>
      </c>
      <c r="I2" s="2" t="n">
        <v>1600000</v>
      </c>
      <c r="J2" s="2" t="n">
        <v>890000</v>
      </c>
      <c r="K2" s="2" t="n">
        <v>44</v>
      </c>
      <c r="L2" s="2" t="inlineStr">
        <is>
          <t>미라클라섹</t>
        </is>
      </c>
      <c r="M2" s="2" t="n">
        <v>3</v>
      </c>
      <c r="N2" s="2" t="inlineStr">
        <is>
          <t>구매일</t>
        </is>
      </c>
      <c r="O2" s="2" t="inlineStr"/>
      <c r="P2" s="2" t="inlineStr">
        <is>
          <t>0</t>
        </is>
      </c>
      <c r="Q2" s="2" t="inlineStr">
        <is>
          <t>;광고상품</t>
        </is>
      </c>
      <c r="R2" s="2" t="inlineStr">
        <is>
          <t>광고상품</t>
        </is>
      </c>
      <c r="S2" s="2" t="inlineStr"/>
      <c r="T2" s="2" t="inlineStr"/>
      <c r="U2" s="2" t="inlineStr">
        <is>
          <t>전화 예약</t>
        </is>
      </c>
      <c r="V2" s="2" t="n">
        <v>10</v>
      </c>
      <c r="W2" s="2" t="inlineStr"/>
      <c r="X2" s="2" t="inlineStr">
        <is>
          <t>삼성미라클안과</t>
        </is>
      </c>
      <c r="Y2" s="2" t="inlineStr"/>
      <c r="Z2" s="2" t="inlineStr">
        <is>
          <t>010-2504-5792(이승민 실장)</t>
        </is>
      </c>
      <c r="AA2" s="2" t="inlineStr"/>
      <c r="AB2" s="2" t="inlineStr">
        <is>
          <t>광고상품</t>
        </is>
      </c>
      <c r="AC2" s="2" t="inlineStr">
        <is>
          <t>N</t>
        </is>
      </c>
      <c r="AD2" s="2" t="inlineStr"/>
      <c r="AE2" s="2" t="inlineStr">
        <is>
          <t>2026-09-30T04:39:21</t>
        </is>
      </c>
    </row>
    <row r="3">
      <c r="A3" s="2" t="inlineStr">
        <is>
          <t>328990</t>
        </is>
      </c>
      <c r="B3" s="2" t="inlineStr">
        <is>
          <t>테마파크</t>
        </is>
      </c>
      <c r="C3" s="2" t="inlineStr">
        <is>
          <t>테마파크</t>
        </is>
      </c>
      <c r="D3" s="2" t="inlineStr">
        <is>
          <t>경기</t>
        </is>
      </c>
      <c r="E3" s="2" t="inlineStr">
        <is>
          <t>수도권</t>
        </is>
      </c>
      <c r="F3" s="2" t="inlineStr">
        <is>
          <t>용인</t>
        </is>
      </c>
      <c r="G3" s="2" t="inlineStr">
        <is>
          <t>한국민속촌</t>
        </is>
      </c>
      <c r="H3" s="2" t="inlineStr">
        <is>
          <t>조선시대로 떠나는 여행!!</t>
        </is>
      </c>
      <c r="I3" s="2" t="n">
        <v>39000</v>
      </c>
      <c r="J3" s="2" t="n">
        <v>19000</v>
      </c>
      <c r="K3" s="2" t="n">
        <v>51</v>
      </c>
      <c r="L3" s="2" t="inlineStr">
        <is>
          <t>주중ㆍ주말공통 종일권 한국민속촌(~10/31)</t>
        </is>
      </c>
      <c r="M3" s="2" t="n">
        <v>1</v>
      </c>
      <c r="N3" s="2" t="inlineStr">
        <is>
          <t>2026-10-01</t>
        </is>
      </c>
      <c r="O3" s="2" t="inlineStr">
        <is>
          <t>2026-10-31</t>
        </is>
      </c>
      <c r="P3" s="2" t="inlineStr"/>
      <c r="Q3" s="2" t="inlineStr">
        <is>
          <t>모바일티켓;바로 사용가능</t>
        </is>
      </c>
      <c r="R3" s="2" t="inlineStr">
        <is>
          <t>즉시발송</t>
        </is>
      </c>
      <c r="S3" s="2" t="inlineStr">
        <is>
          <t>큐패스코리아</t>
        </is>
      </c>
      <c r="T3" s="2" t="inlineStr">
        <is>
          <t>알림톡</t>
        </is>
      </c>
      <c r="U3" s="2" t="inlineStr">
        <is>
          <t>QR/바코드 제시 / 바로 입장</t>
        </is>
      </c>
      <c r="V3" s="2" t="n">
        <v>10</v>
      </c>
      <c r="W3" s="2" t="inlineStr">
        <is>
          <t>기한: 수령 후 7일 이내 | 수수료: 발송·취소 장당 1,000원 | 불가: 부분취소, 기간경과 | 접수: 유선(주중)</t>
        </is>
      </c>
      <c r="X3" s="2" t="inlineStr">
        <is>
          <t>한국민속촌</t>
        </is>
      </c>
      <c r="Y3" s="2" t="inlineStr">
        <is>
          <t>경기 용인시 기흥구 민속촌로 90 한국민속촌</t>
        </is>
      </c>
      <c r="Z3" s="2" t="inlineStr">
        <is>
          <t>031-288-0000</t>
        </is>
      </c>
      <c r="AA3" s="2" t="inlineStr">
        <is>
          <t>https://www.koreanfolk.co.kr/</t>
        </is>
      </c>
      <c r="AB3" s="2" t="inlineStr">
        <is>
          <t>바로 사용가능</t>
        </is>
      </c>
      <c r="AC3" s="2" t="inlineStr">
        <is>
          <t>Y</t>
        </is>
      </c>
      <c r="AD3" s="2" t="inlineStr"/>
      <c r="AE3" s="2" t="inlineStr">
        <is>
          <t>2026-09-30T04:39:24</t>
        </is>
      </c>
    </row>
    <row r="4">
      <c r="A4" s="2" t="inlineStr">
        <is>
          <t>326717</t>
        </is>
      </c>
      <c r="B4" s="2" t="inlineStr">
        <is>
          <t>테마파크</t>
        </is>
      </c>
      <c r="C4" s="2" t="inlineStr">
        <is>
          <t>놀이공원</t>
        </is>
      </c>
      <c r="D4" s="2" t="inlineStr">
        <is>
          <t>경기</t>
        </is>
      </c>
      <c r="E4" s="2" t="inlineStr">
        <is>
          <t>수도권</t>
        </is>
      </c>
      <c r="F4" s="2" t="inlineStr">
        <is>
          <t>과천</t>
        </is>
      </c>
      <c r="G4" s="2" t="inlineStr">
        <is>
          <t>서울랜드</t>
        </is>
      </c>
      <c r="H4" s="2" t="inlineStr">
        <is>
          <t>봄, 여름, 가을, 겨울 쉴 새 없이 터지는 즐거움</t>
        </is>
      </c>
      <c r="I4" s="2" t="n">
        <v>52000</v>
      </c>
      <c r="J4" s="2" t="n">
        <v>17000</v>
      </c>
      <c r="K4" s="2" t="n">
        <v>67</v>
      </c>
      <c r="L4" s="2" t="inlineStr">
        <is>
          <t>AFTER 4 서울랜드(~11/1)</t>
        </is>
      </c>
      <c r="M4" s="2" t="n">
        <v>3</v>
      </c>
      <c r="N4" s="2" t="inlineStr">
        <is>
          <t>구매일</t>
        </is>
      </c>
      <c r="O4" s="2" t="inlineStr">
        <is>
          <t>2026-11-01</t>
        </is>
      </c>
      <c r="P4" s="2" t="inlineStr"/>
      <c r="Q4" s="2" t="inlineStr">
        <is>
          <t>모바일티켓;바로 사용가능</t>
        </is>
      </c>
      <c r="R4" s="2" t="inlineStr">
        <is>
          <t>즉시발송</t>
        </is>
      </c>
      <c r="S4" s="2" t="inlineStr">
        <is>
          <t>스마트인피니_발송</t>
        </is>
      </c>
      <c r="T4" s="2" t="inlineStr">
        <is>
          <t>알림톡/LMS 문자</t>
        </is>
      </c>
      <c r="U4" s="2" t="inlineStr">
        <is>
          <t>바로 입장 | 모바일 이용권 현장 제시 후 이용 가능(재발송 가능 상품)</t>
        </is>
      </c>
      <c r="V4" s="2" t="n">
        <v>10</v>
      </c>
      <c r="W4" s="2" t="inlineStr">
        <is>
          <t>기한: 수령 후 7일 이내 | 수수료: 발송·취소 장당 1,000원 | 불가: 부분취소, 기간경과 | 접수: 유선</t>
        </is>
      </c>
      <c r="X4" s="2" t="inlineStr">
        <is>
          <t>서울랜드</t>
        </is>
      </c>
      <c r="Y4" s="2" t="inlineStr">
        <is>
          <t>경기 과천시 광명로 181</t>
        </is>
      </c>
      <c r="Z4" s="2" t="inlineStr">
        <is>
          <t>02-509-6000(주중 오전 10:00 ~ 17:00/주말 10:00 ~ 18:00)</t>
        </is>
      </c>
      <c r="AA4" s="2" t="inlineStr">
        <is>
          <t>www.seoulland.co.kr ; https://seoulland.co.kr/</t>
        </is>
      </c>
      <c r="AB4" s="2" t="inlineStr">
        <is>
          <t>바로 사용가능</t>
        </is>
      </c>
      <c r="AC4" s="2" t="inlineStr">
        <is>
          <t>Y</t>
        </is>
      </c>
      <c r="AD4" s="2" t="inlineStr"/>
      <c r="AE4" s="2" t="inlineStr">
        <is>
          <t>2026-09-30T04:39:26</t>
        </is>
      </c>
    </row>
    <row r="5">
      <c r="A5" s="2" t="inlineStr">
        <is>
          <t>329117</t>
        </is>
      </c>
      <c r="B5" s="2" t="inlineStr">
        <is>
          <t>테마파크</t>
        </is>
      </c>
      <c r="C5" s="2" t="inlineStr">
        <is>
          <t>놀이공원</t>
        </is>
      </c>
      <c r="D5" s="2" t="inlineStr">
        <is>
          <t>강원</t>
        </is>
      </c>
      <c r="E5" s="2" t="inlineStr">
        <is>
          <t>강원</t>
        </is>
      </c>
      <c r="F5" s="2" t="inlineStr">
        <is>
          <t>춘천</t>
        </is>
      </c>
      <c r="G5" s="2" t="inlineStr">
        <is>
          <t>레고랜드</t>
        </is>
      </c>
      <c r="H5" s="2" t="inlineStr">
        <is>
          <t>40 여개의 놀이기구, 다양한 퍼포먼스 쇼와 어트랙션들로 한가득</t>
        </is>
      </c>
      <c r="I5" s="2" t="n">
        <v>66000</v>
      </c>
      <c r="J5" s="2" t="n">
        <v>36000</v>
      </c>
      <c r="K5" s="2" t="n">
        <v>45</v>
      </c>
      <c r="L5" s="2" t="inlineStr">
        <is>
          <t>주중ㆍ주말 대소공통 레고랜드 2인 종일권(~11/15)</t>
        </is>
      </c>
      <c r="M5" s="2" t="n">
        <v>3</v>
      </c>
      <c r="N5" s="2" t="inlineStr">
        <is>
          <t>2026-09-22</t>
        </is>
      </c>
      <c r="O5" s="2" t="inlineStr">
        <is>
          <t>2026-11-15</t>
        </is>
      </c>
      <c r="P5" s="2" t="inlineStr"/>
      <c r="Q5" s="2" t="inlineStr">
        <is>
          <t>모바일티켓;바로 사용가능</t>
        </is>
      </c>
      <c r="R5" s="2" t="inlineStr">
        <is>
          <t>즉시발송</t>
        </is>
      </c>
      <c r="S5" s="2" t="inlineStr"/>
      <c r="T5" s="2" t="inlineStr">
        <is>
          <t>LMS 문자</t>
        </is>
      </c>
      <c r="U5" s="2" t="inlineStr">
        <is>
          <t>QR/바코드 제시 / 바로 입장 | 모바일 이용권 현장 제시 후 이용 가능(재발송 가능 상품)</t>
        </is>
      </c>
      <c r="V5" s="2" t="n">
        <v>10</v>
      </c>
      <c r="W5" s="2" t="inlineStr">
        <is>
          <t>기한: 수령 후 7일 이내 | 수수료: 발송·취소 장당 1,000원 | 불가: 부분취소, 기간경과 | 접수: 유선</t>
        </is>
      </c>
      <c r="X5" s="2" t="inlineStr">
        <is>
          <t>레고랜드코리아</t>
        </is>
      </c>
      <c r="Y5" s="2" t="inlineStr">
        <is>
          <t>강원 춘천시 하중도길 128</t>
        </is>
      </c>
      <c r="Z5" s="2" t="inlineStr">
        <is>
          <t>033-815-2300</t>
        </is>
      </c>
      <c r="AA5" s="2" t="inlineStr">
        <is>
          <t>https://www.legoland.kr/ ; https://www.legoland.kr//</t>
        </is>
      </c>
      <c r="AB5" s="2" t="inlineStr">
        <is>
          <t>바로 사용가능</t>
        </is>
      </c>
      <c r="AC5" s="2" t="inlineStr">
        <is>
          <t>Y</t>
        </is>
      </c>
      <c r="AD5" s="2" t="inlineStr"/>
      <c r="AE5" s="2" t="inlineStr">
        <is>
          <t>2026-09-30T04:39:29</t>
        </is>
      </c>
    </row>
    <row r="6">
      <c r="A6" s="2" t="inlineStr">
        <is>
          <t>330505</t>
        </is>
      </c>
      <c r="B6" s="2" t="inlineStr">
        <is>
          <t>테마파크</t>
        </is>
      </c>
      <c r="C6" s="2" t="inlineStr">
        <is>
          <t>놀이공원</t>
        </is>
      </c>
      <c r="D6" s="2" t="inlineStr">
        <is>
          <t>경북</t>
        </is>
      </c>
      <c r="E6" s="2" t="inlineStr">
        <is>
          <t>영남</t>
        </is>
      </c>
      <c r="F6" s="2" t="inlineStr">
        <is>
          <t>경주</t>
        </is>
      </c>
      <c r="G6" s="2" t="inlineStr">
        <is>
          <t>경주월드</t>
        </is>
      </c>
      <c r="H6" s="2" t="inlineStr">
        <is>
          <t>꿈, 사랑, 행복의 경주월드</t>
        </is>
      </c>
      <c r="I6" s="2" t="n">
        <v>52000</v>
      </c>
      <c r="J6" s="2" t="n">
        <v>34000</v>
      </c>
      <c r="K6" s="2" t="n">
        <v>35</v>
      </c>
      <c r="L6" s="2" t="inlineStr">
        <is>
          <t>대인 종일권 경주월드(~26/12/31)</t>
        </is>
      </c>
      <c r="M6" s="2" t="n">
        <v>2</v>
      </c>
      <c r="N6" s="2" t="inlineStr">
        <is>
          <t>구매일</t>
        </is>
      </c>
      <c r="O6" s="2" t="inlineStr">
        <is>
          <t>2026-12-31</t>
        </is>
      </c>
      <c r="P6" s="2" t="inlineStr"/>
      <c r="Q6" s="2" t="inlineStr">
        <is>
          <t>모바일티켓;바로 사용가능</t>
        </is>
      </c>
      <c r="R6" s="2" t="inlineStr">
        <is>
          <t>즉시발송</t>
        </is>
      </c>
      <c r="S6" s="2" t="inlineStr"/>
      <c r="T6" s="2" t="inlineStr">
        <is>
          <t>LMS 문자</t>
        </is>
      </c>
      <c r="U6" s="2" t="inlineStr">
        <is>
          <t>매표소 교환 / 바로 입장 | 모바일 이용권 현장 매표소 제시 후 이용 가능(재발송 가능 상품)</t>
        </is>
      </c>
      <c r="V6" s="2" t="n">
        <v>10</v>
      </c>
      <c r="W6" s="2" t="inlineStr">
        <is>
          <t>기한: 수령 후 7일 이내 | 수수료: 발송·취소 장당 1,000원 | 불가: 부분취소, 기간경과 | 접수: 유선</t>
        </is>
      </c>
      <c r="X6" s="2" t="inlineStr">
        <is>
          <t>경주월드</t>
        </is>
      </c>
      <c r="Y6" s="2" t="inlineStr">
        <is>
          <t>경북 경주시 보문로 544</t>
        </is>
      </c>
      <c r="Z6" s="2" t="inlineStr">
        <is>
          <t>1544-8765</t>
        </is>
      </c>
      <c r="AA6" s="2" t="inlineStr">
        <is>
          <t>https://www.gjw.co.kr/Contents/contents.php</t>
        </is>
      </c>
      <c r="AB6" s="2" t="inlineStr">
        <is>
          <t>바로 사용가능</t>
        </is>
      </c>
      <c r="AC6" s="2" t="inlineStr">
        <is>
          <t>Y</t>
        </is>
      </c>
      <c r="AD6" s="2" t="inlineStr"/>
      <c r="AE6" s="2" t="inlineStr">
        <is>
          <t>2026-09-30T04:39:32</t>
        </is>
      </c>
    </row>
    <row r="7">
      <c r="A7" s="2" t="inlineStr">
        <is>
          <t>328545</t>
        </is>
      </c>
      <c r="B7" s="2" t="inlineStr">
        <is>
          <t>공연</t>
        </is>
      </c>
      <c r="C7" s="2" t="inlineStr">
        <is>
          <t>연극</t>
        </is>
      </c>
      <c r="D7" s="2" t="inlineStr">
        <is>
          <t>서울</t>
        </is>
      </c>
      <c r="E7" s="2" t="inlineStr">
        <is>
          <t>수도권</t>
        </is>
      </c>
      <c r="F7" s="2" t="inlineStr">
        <is>
          <t>서울</t>
        </is>
      </c>
      <c r="G7" s="2" t="inlineStr">
        <is>
          <t>연극 마트로시카</t>
        </is>
      </c>
      <c r="H7" s="2" t="inlineStr">
        <is>
          <t>까도 까도 빵빵 터지는 폭소 연발 씨츄에이숀</t>
        </is>
      </c>
      <c r="I7" s="2" t="n">
        <v>66000</v>
      </c>
      <c r="J7" s="2" t="n">
        <v>36960</v>
      </c>
      <c r="K7" s="2" t="n">
        <v>44</v>
      </c>
      <c r="L7" s="2" t="inlineStr">
        <is>
          <t>대소공통 관람권 마트로시카</t>
        </is>
      </c>
      <c r="M7" s="2" t="n">
        <v>1</v>
      </c>
      <c r="N7" s="2" t="inlineStr">
        <is>
          <t>구매일</t>
        </is>
      </c>
      <c r="O7" s="2" t="inlineStr"/>
      <c r="P7" s="2" t="inlineStr">
        <is>
          <t>30</t>
        </is>
      </c>
      <c r="Q7" s="2" t="inlineStr">
        <is>
          <t>모바일티켓;예약필수</t>
        </is>
      </c>
      <c r="R7" s="2" t="inlineStr">
        <is>
          <t>예약필수</t>
        </is>
      </c>
      <c r="S7" s="2" t="inlineStr"/>
      <c r="T7" s="2" t="inlineStr"/>
      <c r="U7" s="2" t="inlineStr">
        <is>
          <t>매표소 교환 / 전화 예약 | 관람 예약 확정 후 현장 매표소 방문 및 발권하여 관람 가능</t>
        </is>
      </c>
      <c r="V7" s="2" t="n">
        <v>100</v>
      </c>
      <c r="W7" s="2" t="inlineStr">
        <is>
          <t>기한: 수령 후 7일 이내 | 수수료: 발송·취소 장당 1,000원 | 불가: 부분취소, 기간경과, 예약확정 후 | 접수: 유선(주중)</t>
        </is>
      </c>
      <c r="X7" s="2" t="inlineStr">
        <is>
          <t>연극 마트로시카</t>
        </is>
      </c>
      <c r="Y7" s="2" t="inlineStr">
        <is>
          <t>서울특별시 중구 초동 18-5 명보아트홀 3층</t>
        </is>
      </c>
      <c r="Z7" s="2" t="inlineStr">
        <is>
          <t>010-4738-6960</t>
        </is>
      </c>
      <c r="AA7" s="2" t="inlineStr"/>
      <c r="AB7" s="2" t="inlineStr">
        <is>
          <t>예약필수</t>
        </is>
      </c>
      <c r="AC7" s="2" t="inlineStr">
        <is>
          <t>Y</t>
        </is>
      </c>
      <c r="AD7" s="2" t="inlineStr"/>
      <c r="AE7" s="2" t="inlineStr">
        <is>
          <t>2026-09-30T04:39:35</t>
        </is>
      </c>
    </row>
    <row r="8">
      <c r="A8" s="2" t="inlineStr">
        <is>
          <t>328609</t>
        </is>
      </c>
      <c r="B8" s="2" t="inlineStr">
        <is>
          <t>숙박</t>
        </is>
      </c>
      <c r="C8" s="2" t="inlineStr">
        <is>
          <t>숙박</t>
        </is>
      </c>
      <c r="D8" s="2" t="inlineStr">
        <is>
          <t>인천</t>
        </is>
      </c>
      <c r="E8" s="2" t="inlineStr">
        <is>
          <t>수도권</t>
        </is>
      </c>
      <c r="F8" s="2" t="inlineStr">
        <is>
          <t>강화</t>
        </is>
      </c>
      <c r="G8" s="2" t="inlineStr">
        <is>
          <t>엘리야리조트&amp;풀빌라 숙박권</t>
        </is>
      </c>
      <c r="H8" s="2" t="inlineStr">
        <is>
          <t>전객실 오션뷰로 이루어진 강화도의 수려한 자연경관이 함께하는 리조트</t>
        </is>
      </c>
      <c r="I8" s="2" t="n">
        <v>356800</v>
      </c>
      <c r="J8" s="2" t="n">
        <v>178400</v>
      </c>
      <c r="K8" s="2" t="n">
        <v>50</v>
      </c>
      <c r="L8" s="2" t="inlineStr">
        <is>
          <t>디럭스 본관 주중 숙박권 엘리야리조트(~12/30)</t>
        </is>
      </c>
      <c r="M8" s="2" t="n">
        <v>12</v>
      </c>
      <c r="N8" s="2" t="inlineStr">
        <is>
          <t>2026-09-10</t>
        </is>
      </c>
      <c r="O8" s="2" t="inlineStr">
        <is>
          <t>2026-12-30</t>
        </is>
      </c>
      <c r="P8" s="2" t="inlineStr"/>
      <c r="Q8" s="2" t="inlineStr">
        <is>
          <t>모바일티켓;예약필수</t>
        </is>
      </c>
      <c r="R8" s="2" t="inlineStr">
        <is>
          <t>예약대기</t>
        </is>
      </c>
      <c r="S8" s="2" t="inlineStr"/>
      <c r="T8" s="2" t="inlineStr">
        <is>
          <t>LMS 문자</t>
        </is>
      </c>
      <c r="U8" s="2" t="inlineStr">
        <is>
          <t>전화 예약 | 사전예약 후 방문</t>
        </is>
      </c>
      <c r="V8" s="2" t="n">
        <v>100</v>
      </c>
      <c r="W8" s="2" t="inlineStr">
        <is>
          <t>수수료: D-11 100%, D-10 10%, D-9 10%, D-8 20%, D-7 30%, D-6 40%, D-5 50%, D-4 60%, D-3 70%, D-2 80%, D-1 90% | 접수: 유선(주중)</t>
        </is>
      </c>
      <c r="X8" s="2" t="inlineStr">
        <is>
          <t>엘리야 리조트</t>
        </is>
      </c>
      <c r="Y8" s="2" t="inlineStr">
        <is>
          <t>인천 강화군 화도면 해안남로 2782-24 엘리야 리조트&amp;풀빌라</t>
        </is>
      </c>
      <c r="Z8" s="2" t="inlineStr">
        <is>
          <t>032-937-5921</t>
        </is>
      </c>
      <c r="AA8" s="2" t="inlineStr">
        <is>
          <t>http://www.elijahresort.com/</t>
        </is>
      </c>
      <c r="AB8" s="2" t="inlineStr">
        <is>
          <t>예약필수</t>
        </is>
      </c>
      <c r="AC8" s="2" t="inlineStr">
        <is>
          <t>Y</t>
        </is>
      </c>
      <c r="AD8" s="2" t="inlineStr"/>
      <c r="AE8" s="2" t="inlineStr">
        <is>
          <t>2026-09-30T04:39:37</t>
        </is>
      </c>
    </row>
    <row r="9">
      <c r="A9" s="2" t="inlineStr">
        <is>
          <t>328673</t>
        </is>
      </c>
      <c r="B9" s="2" t="inlineStr">
        <is>
          <t>숙박</t>
        </is>
      </c>
      <c r="C9" s="2" t="inlineStr">
        <is>
          <t>숙박</t>
        </is>
      </c>
      <c r="D9" s="2" t="inlineStr">
        <is>
          <t>강원</t>
        </is>
      </c>
      <c r="E9" s="2" t="inlineStr">
        <is>
          <t>강원</t>
        </is>
      </c>
      <c r="F9" s="2" t="inlineStr">
        <is>
          <t>강원</t>
        </is>
      </c>
      <c r="G9" s="2" t="inlineStr">
        <is>
          <t>에머슨 스위트 낙산</t>
        </is>
      </c>
      <c r="H9" s="2" t="inlineStr">
        <is>
          <t>가장 먼저 해가 뜨는 곳, 낙산의 푸른 바다를 가장 가까이에서 마주하세요</t>
        </is>
      </c>
      <c r="I9" s="2" t="n">
        <v>240000</v>
      </c>
      <c r="J9" s="2" t="n">
        <v>120000</v>
      </c>
      <c r="K9" s="2" t="n">
        <v>50</v>
      </c>
      <c r="L9" s="2" t="inlineStr">
        <is>
          <t>그랜드 디럭스 더블(하프 오션) 주중(일~목)</t>
        </is>
      </c>
      <c r="M9" s="2" t="n">
        <v>20</v>
      </c>
      <c r="N9" s="2" t="inlineStr">
        <is>
          <t>2026-09-10</t>
        </is>
      </c>
      <c r="O9" s="2" t="inlineStr">
        <is>
          <t>2026-12-29</t>
        </is>
      </c>
      <c r="P9" s="2" t="inlineStr"/>
      <c r="Q9" s="2" t="inlineStr">
        <is>
          <t>모바일티켓;예약필수</t>
        </is>
      </c>
      <c r="R9" s="2" t="inlineStr">
        <is>
          <t>예약대기</t>
        </is>
      </c>
      <c r="S9" s="2" t="inlineStr"/>
      <c r="T9" s="2" t="inlineStr">
        <is>
          <t>LMS 문자</t>
        </is>
      </c>
      <c r="U9" s="2" t="inlineStr">
        <is>
          <t>전화 예약 | 사전예약 후 방문</t>
        </is>
      </c>
      <c r="V9" s="2" t="n">
        <v>100</v>
      </c>
      <c r="W9" s="2" t="inlineStr">
        <is>
          <t>수수료: D-3 100%, D-2 50% | 접수: 유선(주중)</t>
        </is>
      </c>
      <c r="X9" s="2" t="inlineStr">
        <is>
          <t>에머슨 스위트 낙산</t>
        </is>
      </c>
      <c r="Y9" s="2" t="inlineStr">
        <is>
          <t>강원 양양군 양양읍 해맞이길 88</t>
        </is>
      </c>
      <c r="Z9" s="2" t="inlineStr">
        <is>
          <t>0507-1345-9900</t>
        </is>
      </c>
      <c r="AA9" s="2" t="inlineStr">
        <is>
          <t>https://www.emersonsuitesnaksan.com/</t>
        </is>
      </c>
      <c r="AB9" s="2" t="inlineStr">
        <is>
          <t>예약필수</t>
        </is>
      </c>
      <c r="AC9" s="2" t="inlineStr">
        <is>
          <t>Y</t>
        </is>
      </c>
      <c r="AD9" s="2" t="inlineStr"/>
      <c r="AE9" s="2" t="inlineStr">
        <is>
          <t>2026-09-30T04:39:39</t>
        </is>
      </c>
    </row>
    <row r="10">
      <c r="A10" s="2" t="inlineStr">
        <is>
          <t>329434</t>
        </is>
      </c>
      <c r="B10" s="2" t="inlineStr">
        <is>
          <t>워터파크</t>
        </is>
      </c>
      <c r="C10" s="2" t="inlineStr">
        <is>
          <t>워터파크</t>
        </is>
      </c>
      <c r="D10" s="2" t="inlineStr">
        <is>
          <t>경기</t>
        </is>
      </c>
      <c r="E10" s="2" t="inlineStr">
        <is>
          <t>수도권</t>
        </is>
      </c>
      <c r="F10" s="2" t="inlineStr">
        <is>
          <t>의정부</t>
        </is>
      </c>
      <c r="G10" s="2" t="inlineStr">
        <is>
          <t>장암 아일랜드캐슬 워터파크 1인 종일권</t>
        </is>
      </c>
      <c r="H10" s="2" t="inlineStr">
        <is>
          <t>사계절 내내 핫하게!! 수도권 HOT &amp; NEW 워터파크</t>
        </is>
      </c>
      <c r="I10" s="2" t="n">
        <v>45000</v>
      </c>
      <c r="J10" s="2" t="n">
        <v>21000</v>
      </c>
      <c r="K10" s="2" t="n">
        <v>53</v>
      </c>
      <c r="L10" s="2" t="inlineStr">
        <is>
          <t>(대소공통)장암 1인 종일권 (9/4~10/31)*구명조끼 미포함</t>
        </is>
      </c>
      <c r="M10" s="2" t="n">
        <v>1</v>
      </c>
      <c r="N10" s="2" t="inlineStr">
        <is>
          <t>2026-09-04</t>
        </is>
      </c>
      <c r="O10" s="2" t="inlineStr">
        <is>
          <t>2026-10-31</t>
        </is>
      </c>
      <c r="P10" s="2" t="inlineStr"/>
      <c r="Q10" s="2" t="inlineStr">
        <is>
          <t>모바일티켓;바로 사용가능</t>
        </is>
      </c>
      <c r="R10" s="2" t="inlineStr">
        <is>
          <t>즉시발송</t>
        </is>
      </c>
      <c r="S10" s="2" t="inlineStr"/>
      <c r="T10" s="2" t="inlineStr">
        <is>
          <t>LMS 문자</t>
        </is>
      </c>
      <c r="U10" s="2" t="inlineStr">
        <is>
          <t>바로 입장</t>
        </is>
      </c>
      <c r="V10" s="2" t="n">
        <v>10</v>
      </c>
      <c r="W10" s="2" t="inlineStr">
        <is>
          <t>기한: 수령 후 7일 이내 | 수수료: 발송·취소 장당 1,000원 | 불가: 부분취소, 기간경과 | 접수: 유선</t>
        </is>
      </c>
      <c r="X10" s="2" t="inlineStr">
        <is>
          <t>장암아일랜드캐슬 워터파크</t>
        </is>
      </c>
      <c r="Y10" s="2" t="inlineStr">
        <is>
          <t>경기도 의정부시 장곡로 22</t>
        </is>
      </c>
      <c r="Z10" s="2" t="inlineStr">
        <is>
          <t>031-894-0331</t>
        </is>
      </c>
      <c r="AA10" s="2" t="inlineStr">
        <is>
          <t>https://waterpark.islandcastle.net/</t>
        </is>
      </c>
      <c r="AB10" s="2" t="inlineStr">
        <is>
          <t>바로 사용가능</t>
        </is>
      </c>
      <c r="AC10" s="2" t="inlineStr">
        <is>
          <t>Y</t>
        </is>
      </c>
      <c r="AD10" s="2" t="inlineStr"/>
      <c r="AE10" s="2" t="inlineStr">
        <is>
          <t>2026-09-30T04:39:41</t>
        </is>
      </c>
    </row>
    <row r="11">
      <c r="A11" s="2" t="inlineStr">
        <is>
          <t>225306</t>
        </is>
      </c>
      <c r="B11" s="2" t="inlineStr">
        <is>
          <t>서울베스트의료의원</t>
        </is>
      </c>
      <c r="C11" s="2" t="inlineStr">
        <is>
          <t>건강검진</t>
        </is>
      </c>
      <c r="D11" s="2" t="inlineStr">
        <is>
          <t>서울</t>
        </is>
      </c>
      <c r="E11" s="2" t="inlineStr">
        <is>
          <t>수도권</t>
        </is>
      </c>
      <c r="F11" s="2" t="inlineStr">
        <is>
          <t>서울</t>
        </is>
      </c>
      <c r="G11" s="2" t="inlineStr">
        <is>
          <t>서울베스트의료의원 건강검진</t>
        </is>
      </c>
      <c r="H11" s="2" t="inlineStr">
        <is>
          <t>종합검진에 대한 모든 것</t>
        </is>
      </c>
      <c r="I11" s="2" t="n">
        <v>0</v>
      </c>
      <c r="J11" s="2" t="n">
        <v>250000</v>
      </c>
      <c r="K11" s="2" t="n">
        <v>0</v>
      </c>
      <c r="L11" s="2" t="inlineStr">
        <is>
          <t>종합건강검진 A형</t>
        </is>
      </c>
      <c r="M11" s="2" t="n">
        <v>3</v>
      </c>
      <c r="N11" s="2" t="inlineStr">
        <is>
          <t>구매일</t>
        </is>
      </c>
      <c r="O11" s="2" t="inlineStr"/>
      <c r="P11" s="2" t="inlineStr">
        <is>
          <t>0</t>
        </is>
      </c>
      <c r="Q11" s="2" t="inlineStr">
        <is>
          <t>;광고상품</t>
        </is>
      </c>
      <c r="R11" s="2" t="inlineStr">
        <is>
          <t>광고상품</t>
        </is>
      </c>
      <c r="S11" s="2" t="inlineStr"/>
      <c r="T11" s="2" t="inlineStr"/>
      <c r="U11" s="2" t="inlineStr">
        <is>
          <t>전화 예약</t>
        </is>
      </c>
      <c r="V11" s="2" t="n">
        <v>10</v>
      </c>
      <c r="W11" s="2" t="inlineStr"/>
      <c r="X11" s="2" t="inlineStr">
        <is>
          <t>서울베스트의료의원</t>
        </is>
      </c>
      <c r="Y11" s="2" t="inlineStr">
        <is>
          <t>서울 중구 다산로46길 17 두산위브더제니스 2층 서울베스트의료의원</t>
        </is>
      </c>
      <c r="Z11" s="2" t="inlineStr">
        <is>
          <t>02-2135-1357</t>
        </is>
      </c>
      <c r="AA11" s="2" t="inlineStr">
        <is>
          <t>http://www.sbestmc.com/</t>
        </is>
      </c>
      <c r="AB11" s="2" t="inlineStr">
        <is>
          <t>광고상품</t>
        </is>
      </c>
      <c r="AC11" s="2" t="inlineStr">
        <is>
          <t>N</t>
        </is>
      </c>
      <c r="AD11" s="2" t="inlineStr"/>
      <c r="AE11" s="2" t="inlineStr">
        <is>
          <t>2026-09-30T04:39:43</t>
        </is>
      </c>
    </row>
    <row r="12">
      <c r="A12" s="2" t="inlineStr">
        <is>
          <t>324512</t>
        </is>
      </c>
      <c r="B12" s="2" t="inlineStr">
        <is>
          <t>레져</t>
        </is>
      </c>
      <c r="C12" s="2" t="inlineStr">
        <is>
          <t>액티비티</t>
        </is>
      </c>
      <c r="D12" s="2" t="inlineStr">
        <is>
          <t>강원</t>
        </is>
      </c>
      <c r="E12" s="2" t="inlineStr">
        <is>
          <t>강원</t>
        </is>
      </c>
      <c r="F12" s="2" t="inlineStr">
        <is>
          <t>영월</t>
        </is>
      </c>
      <c r="G12" s="2" t="inlineStr">
        <is>
          <t>동강흥국래프팅</t>
        </is>
      </c>
      <c r="H12" s="2" t="inlineStr">
        <is>
          <t>당일로 다녀오는 당신의 익스트림! 아름다운 영월 동강과 함께하세요.</t>
        </is>
      </c>
      <c r="I12" s="2" t="n">
        <v>15000</v>
      </c>
      <c r="J12" s="2" t="n">
        <v>10000</v>
      </c>
      <c r="K12" s="2" t="n">
        <v>33</v>
      </c>
      <c r="L12" s="2" t="inlineStr">
        <is>
          <t>워터밤 물총 대여 동강흥국래프팅(~9/30)</t>
        </is>
      </c>
      <c r="M12" s="2" t="n">
        <v>10</v>
      </c>
      <c r="N12" s="2" t="inlineStr">
        <is>
          <t>구매일</t>
        </is>
      </c>
      <c r="O12" s="2" t="inlineStr">
        <is>
          <t>2026-09-30</t>
        </is>
      </c>
      <c r="P12" s="2" t="inlineStr"/>
      <c r="Q12" s="2" t="inlineStr">
        <is>
          <t>모바일티켓;예약필수</t>
        </is>
      </c>
      <c r="R12" s="2" t="inlineStr">
        <is>
          <t>예약필수</t>
        </is>
      </c>
      <c r="S12" s="2" t="inlineStr">
        <is>
          <t>큐패스코리아</t>
        </is>
      </c>
      <c r="T12" s="2" t="inlineStr">
        <is>
          <t>알림톡/LMS 문자</t>
        </is>
      </c>
      <c r="U12" s="2" t="inlineStr">
        <is>
          <t>전화 예약 / 바로 입장 | 사전 예약 후 방문</t>
        </is>
      </c>
      <c r="V12" s="2" t="n">
        <v>100</v>
      </c>
      <c r="W12" s="2" t="inlineStr">
        <is>
          <t>기한: 수령 후 7일 이내 | 수수료: 발송·취소 장당 1,000원, D-3 기본수수료, D-2 50% | 불가: 부분취소, 기간경과, 당일·노쇼 | 접수: 유선(주중)</t>
        </is>
      </c>
      <c r="X12" s="2" t="inlineStr">
        <is>
          <t>동강흥국래프팅</t>
        </is>
      </c>
      <c r="Y12" s="2" t="inlineStr">
        <is>
          <t>강원도 영월군 영월읍 삼옥리 231-1</t>
        </is>
      </c>
      <c r="Z12" s="2" t="inlineStr">
        <is>
          <t>033-375-0846</t>
        </is>
      </c>
      <c r="AA12" s="2" t="inlineStr">
        <is>
          <t>http://donggang114.co.kr/</t>
        </is>
      </c>
      <c r="AB12" s="2" t="inlineStr">
        <is>
          <t>예약필수</t>
        </is>
      </c>
      <c r="AC12" s="2" t="inlineStr">
        <is>
          <t>Y</t>
        </is>
      </c>
      <c r="AD12" s="2" t="inlineStr"/>
      <c r="AE12" s="2" t="inlineStr">
        <is>
          <t>2026-09-30T04:39:45</t>
        </is>
      </c>
    </row>
    <row r="13">
      <c r="A13" s="2" t="inlineStr">
        <is>
          <t>330442</t>
        </is>
      </c>
      <c r="B13" s="2" t="inlineStr">
        <is>
          <t>워터파크</t>
        </is>
      </c>
      <c r="C13" s="2" t="inlineStr">
        <is>
          <t>워터파크</t>
        </is>
      </c>
      <c r="D13" s="2" t="inlineStr">
        <is>
          <t>충남</t>
        </is>
      </c>
      <c r="E13" s="2" t="inlineStr">
        <is>
          <t>충청</t>
        </is>
      </c>
      <c r="F13" s="2" t="inlineStr">
        <is>
          <t>아산</t>
        </is>
      </c>
      <c r="G13" s="2" t="inlineStr">
        <is>
          <t>아산스파비스</t>
        </is>
      </c>
      <c r="H13" s="2" t="inlineStr">
        <is>
          <t>따뜻한 천연 온천수로 즐기는 물놀이</t>
        </is>
      </c>
      <c r="I13" s="2" t="n">
        <v>50000</v>
      </c>
      <c r="J13" s="2" t="n">
        <v>20000</v>
      </c>
      <c r="K13" s="2" t="n">
        <v>60</v>
      </c>
      <c r="L13" s="2" t="inlineStr">
        <is>
          <t>주중·주말공통이용권 아산스파비스(~26/12/31)</t>
        </is>
      </c>
      <c r="M13" s="2" t="n">
        <v>1</v>
      </c>
      <c r="N13" s="2" t="inlineStr">
        <is>
          <t>2026-09-29</t>
        </is>
      </c>
      <c r="O13" s="2" t="inlineStr">
        <is>
          <t>2026-12-31</t>
        </is>
      </c>
      <c r="P13" s="2" t="inlineStr"/>
      <c r="Q13" s="2" t="inlineStr">
        <is>
          <t>모바일티켓;바로 사용가능</t>
        </is>
      </c>
      <c r="R13" s="2" t="inlineStr">
        <is>
          <t>즉시발송</t>
        </is>
      </c>
      <c r="S13" s="2" t="inlineStr"/>
      <c r="T13" s="2" t="inlineStr">
        <is>
          <t>LMS 문자</t>
        </is>
      </c>
      <c r="U13" s="2" t="inlineStr">
        <is>
          <t>QR/바코드 제시 / 매표소 교환 / 바로 입장 | LMS 바코드 문자 이용권 현장 매표소 제시 후 이용 가능(재발송 가능 상품)</t>
        </is>
      </c>
      <c r="V13" s="2" t="n">
        <v>20</v>
      </c>
      <c r="W13" s="2" t="inlineStr">
        <is>
          <t>기한: 수령 후 7일 이내 | 수수료: 발송·취소 장당 1,000원 | 불가: 부분취소, 기간경과 | 접수: 유선</t>
        </is>
      </c>
      <c r="X13" s="2" t="inlineStr">
        <is>
          <t>아산스파비스</t>
        </is>
      </c>
      <c r="Y13" s="2" t="inlineStr">
        <is>
          <t>충남 아산시 음봉면 아산온천로157번길 67 아산스파비스</t>
        </is>
      </c>
      <c r="Z13" s="2" t="inlineStr">
        <is>
          <t>041-539-2000</t>
        </is>
      </c>
      <c r="AA13" s="2" t="inlineStr">
        <is>
          <t>https://www.spavis.co.kr/</t>
        </is>
      </c>
      <c r="AB13" s="2" t="inlineStr">
        <is>
          <t>바로 사용가능</t>
        </is>
      </c>
      <c r="AC13" s="2" t="inlineStr">
        <is>
          <t>Y</t>
        </is>
      </c>
      <c r="AD13" s="2" t="inlineStr"/>
      <c r="AE13" s="2" t="inlineStr">
        <is>
          <t>2026-09-30T04:39:48</t>
        </is>
      </c>
    </row>
    <row r="14">
      <c r="A14" s="2" t="inlineStr">
        <is>
          <t>330001</t>
        </is>
      </c>
      <c r="B14" s="2" t="inlineStr">
        <is>
          <t>테마파크</t>
        </is>
      </c>
      <c r="C14" s="2" t="inlineStr">
        <is>
          <t>테마파크</t>
        </is>
      </c>
      <c r="D14" s="2" t="inlineStr">
        <is>
          <t>경기</t>
        </is>
      </c>
      <c r="E14" s="2" t="inlineStr">
        <is>
          <t>수도권</t>
        </is>
      </c>
      <c r="F14" s="2" t="inlineStr">
        <is>
          <t>부천</t>
        </is>
      </c>
      <c r="G14" s="2" t="inlineStr">
        <is>
          <t>볼베어파크 실내 키즈카페</t>
        </is>
      </c>
      <c r="H14" s="2" t="inlineStr">
        <is>
          <t>우리 아이의 취향저격 놀이터!</t>
        </is>
      </c>
      <c r="I14" s="2" t="n">
        <v>9000</v>
      </c>
      <c r="J14" s="2" t="n">
        <v>7650</v>
      </c>
      <c r="K14" s="2" t="n">
        <v>15</v>
      </c>
      <c r="L14" s="2" t="inlineStr">
        <is>
          <t>평일 주말 통합권 대인권 부천 볼베어파크(~12/31)</t>
        </is>
      </c>
      <c r="M14" s="2" t="n">
        <v>3</v>
      </c>
      <c r="N14" s="2" t="inlineStr">
        <is>
          <t>구매일</t>
        </is>
      </c>
      <c r="O14" s="2" t="inlineStr">
        <is>
          <t>2026-12-31</t>
        </is>
      </c>
      <c r="P14" s="2" t="inlineStr"/>
      <c r="Q14" s="2" t="inlineStr">
        <is>
          <t>모바일티켓;바로 사용가능</t>
        </is>
      </c>
      <c r="R14" s="2" t="inlineStr">
        <is>
          <t>즉시발송</t>
        </is>
      </c>
      <c r="S14" s="2" t="inlineStr">
        <is>
          <t>엘에스컴퍼니</t>
        </is>
      </c>
      <c r="T14" s="2" t="inlineStr">
        <is>
          <t>알림톡</t>
        </is>
      </c>
      <c r="U14" s="2" t="inlineStr">
        <is>
          <t>매표소 교환 / 바로 입장 | 모바일 이용권 현장 매표소 제시 후 이용 가능(재발송 가능 상품)</t>
        </is>
      </c>
      <c r="V14" s="2" t="n">
        <v>20</v>
      </c>
      <c r="W14" s="2" t="inlineStr">
        <is>
          <t>기한: 수령 후 7일 이내 | 수수료: 발송·취소 장당 1,000원 | 불가: 부분취소, 기간경과 | 접수: 유선(주중)</t>
        </is>
      </c>
      <c r="X14" s="2" t="inlineStr">
        <is>
          <t>부천볼베어파크</t>
        </is>
      </c>
      <c r="Y14" s="2" t="inlineStr">
        <is>
          <t>경기 부천시 원미구 조마루로 2 웅진플레이도시 2층 볼베어파크</t>
        </is>
      </c>
      <c r="Z14" s="2" t="inlineStr">
        <is>
          <t>0507-1421-7789</t>
        </is>
      </c>
      <c r="AA14" s="2" t="inlineStr"/>
      <c r="AB14" s="2" t="inlineStr">
        <is>
          <t>바로 사용가능</t>
        </is>
      </c>
      <c r="AC14" s="2" t="inlineStr">
        <is>
          <t>Y</t>
        </is>
      </c>
      <c r="AD14" s="2" t="inlineStr"/>
      <c r="AE14" s="2" t="inlineStr">
        <is>
          <t>2026-09-30T04:39:50</t>
        </is>
      </c>
    </row>
    <row r="15">
      <c r="A15" s="2" t="inlineStr">
        <is>
          <t>327536</t>
        </is>
      </c>
      <c r="B15" s="2" t="inlineStr">
        <is>
          <t>테마파크</t>
        </is>
      </c>
      <c r="C15" s="2" t="inlineStr">
        <is>
          <t>테마파크</t>
        </is>
      </c>
      <c r="D15" s="2" t="inlineStr">
        <is>
          <t>부산</t>
        </is>
      </c>
      <c r="E15" s="2" t="inlineStr">
        <is>
          <t>영남</t>
        </is>
      </c>
      <c r="F15" s="2" t="inlineStr">
        <is>
          <t>부산</t>
        </is>
      </c>
      <c r="G15" s="2" t="inlineStr">
        <is>
          <t>세라젬 웰파크 부산기장점</t>
        </is>
      </c>
      <c r="H15" s="2" t="inlineStr">
        <is>
          <t>12가지 넘는 놀이 체험을 통해 부모님의 휴식을 제공!</t>
        </is>
      </c>
      <c r="I15" s="2" t="n">
        <v>5000</v>
      </c>
      <c r="J15" s="2" t="n">
        <v>4250</v>
      </c>
      <c r="K15" s="2" t="n">
        <v>15</v>
      </c>
      <c r="L15" s="2" t="inlineStr">
        <is>
          <t>2시간 이용권 대인 세라젬 웰파크 부산기장점(~12/31)</t>
        </is>
      </c>
      <c r="M15" s="2" t="n">
        <v>3</v>
      </c>
      <c r="N15" s="2" t="inlineStr">
        <is>
          <t>구매일</t>
        </is>
      </c>
      <c r="O15" s="2" t="inlineStr">
        <is>
          <t>2026-12-31</t>
        </is>
      </c>
      <c r="P15" s="2" t="inlineStr"/>
      <c r="Q15" s="2" t="inlineStr">
        <is>
          <t>모바일티켓;바로 사용가능</t>
        </is>
      </c>
      <c r="R15" s="2" t="inlineStr">
        <is>
          <t>즉시발송</t>
        </is>
      </c>
      <c r="S15" s="2" t="inlineStr">
        <is>
          <t>엘에스컴퍼니</t>
        </is>
      </c>
      <c r="T15" s="2" t="inlineStr">
        <is>
          <t>알림톡</t>
        </is>
      </c>
      <c r="U15" s="2" t="inlineStr">
        <is>
          <t>매표소 교환 / 바로 입장 | 모바일 이용권 현장 매표소 제시 후 이용 가능(재발송 가능 상품)</t>
        </is>
      </c>
      <c r="V15" s="2" t="n">
        <v>20</v>
      </c>
      <c r="W15" s="2" t="inlineStr">
        <is>
          <t>기한: 수령 후 7일 이내 | 수수료: 발송·취소 장당 1,000원 | 불가: 부분취소, 기간경과 | 접수: 유선(주중)</t>
        </is>
      </c>
      <c r="X15" s="2" t="inlineStr">
        <is>
          <t>세라젬 웰파크 부산기장점</t>
        </is>
      </c>
      <c r="Y15" s="2" t="inlineStr">
        <is>
          <t>부산 기장군 기장읍 동부산관광1로 60 라우어 오시리아근린생활시설 1동 4층</t>
        </is>
      </c>
      <c r="Z15" s="2" t="inlineStr">
        <is>
          <t>070-8835-7979</t>
        </is>
      </c>
      <c r="AA15" s="2" t="inlineStr"/>
      <c r="AB15" s="2" t="inlineStr">
        <is>
          <t>바로 사용가능</t>
        </is>
      </c>
      <c r="AC15" s="2" t="inlineStr">
        <is>
          <t>Y</t>
        </is>
      </c>
      <c r="AD15" s="2" t="inlineStr"/>
      <c r="AE15" s="2" t="inlineStr">
        <is>
          <t>2026-09-30T04:39:52</t>
        </is>
      </c>
    </row>
    <row r="16">
      <c r="A16" s="2" t="inlineStr">
        <is>
          <t>329938</t>
        </is>
      </c>
      <c r="B16" s="2" t="inlineStr">
        <is>
          <t>테마파크</t>
        </is>
      </c>
      <c r="C16" s="2" t="inlineStr">
        <is>
          <t>테마파크</t>
        </is>
      </c>
      <c r="D16" s="2" t="inlineStr">
        <is>
          <t>경기</t>
        </is>
      </c>
      <c r="E16" s="2" t="inlineStr">
        <is>
          <t>수도권</t>
        </is>
      </c>
      <c r="F16" s="2" t="inlineStr">
        <is>
          <t>경기 하남</t>
        </is>
      </c>
      <c r="G16" s="2" t="inlineStr">
        <is>
          <t>세라젬 웰파크 위례점</t>
        </is>
      </c>
      <c r="H16" s="2" t="inlineStr">
        <is>
          <t>아이들을 위한 10여종의 놀이 공간!</t>
        </is>
      </c>
      <c r="I16" s="2" t="n">
        <v>7000</v>
      </c>
      <c r="J16" s="2" t="n">
        <v>5950</v>
      </c>
      <c r="K16" s="2" t="n">
        <v>15</v>
      </c>
      <c r="L16" s="2" t="inlineStr">
        <is>
          <t>통합권 3시간 대인 세라젬 웰파크 위례점(~12/31)</t>
        </is>
      </c>
      <c r="M16" s="2" t="n">
        <v>3</v>
      </c>
      <c r="N16" s="2" t="inlineStr">
        <is>
          <t>구매일</t>
        </is>
      </c>
      <c r="O16" s="2" t="inlineStr">
        <is>
          <t>2026-12-31</t>
        </is>
      </c>
      <c r="P16" s="2" t="inlineStr"/>
      <c r="Q16" s="2" t="inlineStr">
        <is>
          <t>모바일티켓;바로 사용가능</t>
        </is>
      </c>
      <c r="R16" s="2" t="inlineStr">
        <is>
          <t>즉시발송</t>
        </is>
      </c>
      <c r="S16" s="2" t="inlineStr">
        <is>
          <t>엘에스컴퍼니</t>
        </is>
      </c>
      <c r="T16" s="2" t="inlineStr">
        <is>
          <t>알림톡</t>
        </is>
      </c>
      <c r="U16" s="2" t="inlineStr">
        <is>
          <t>매표소 교환 / 바로 입장 | 모바일 이용권 현장 매표소 제시 후 이용 가능(재발송 가능 상품)</t>
        </is>
      </c>
      <c r="V16" s="2" t="n">
        <v>20</v>
      </c>
      <c r="W16" s="2" t="inlineStr">
        <is>
          <t>기한: 수령 후 7일 이내 | 수수료: 발송·취소 장당 1,000원 | 불가: 부분취소, 기간경과 | 접수: 유선(주중)</t>
        </is>
      </c>
      <c r="X16" s="2" t="inlineStr">
        <is>
          <t>세라젬 웰파크 위례점</t>
        </is>
      </c>
      <c r="Y16" s="2" t="inlineStr">
        <is>
          <t>경기 하남시 위례대로 350 2층 201호~217호, 219호, 220호</t>
        </is>
      </c>
      <c r="Z16" s="2" t="inlineStr">
        <is>
          <t>070-4126-5265</t>
        </is>
      </c>
      <c r="AA16" s="2" t="inlineStr"/>
      <c r="AB16" s="2" t="inlineStr">
        <is>
          <t>바로 사용가능</t>
        </is>
      </c>
      <c r="AC16" s="2" t="inlineStr">
        <is>
          <t>Y</t>
        </is>
      </c>
      <c r="AD16" s="2" t="inlineStr"/>
      <c r="AE16" s="2" t="inlineStr">
        <is>
          <t>2026-09-30T04:39:55</t>
        </is>
      </c>
    </row>
    <row r="17">
      <c r="A17" s="2" t="inlineStr">
        <is>
          <t>313585</t>
        </is>
      </c>
      <c r="B17" s="2" t="inlineStr">
        <is>
          <t>레져</t>
        </is>
      </c>
      <c r="C17" s="2" t="inlineStr">
        <is>
          <t>액티비티</t>
        </is>
      </c>
      <c r="D17" s="2" t="inlineStr">
        <is>
          <t>인천</t>
        </is>
      </c>
      <c r="E17" s="2" t="inlineStr">
        <is>
          <t>수도권</t>
        </is>
      </c>
      <c r="F17" s="2" t="inlineStr">
        <is>
          <t>강화</t>
        </is>
      </c>
      <c r="G17" s="2" t="inlineStr">
        <is>
          <t>레포츠파크</t>
        </is>
      </c>
      <c r="H17" s="2" t="inlineStr">
        <is>
          <t>자연과 함께 숨쉬는 천상의 숲</t>
        </is>
      </c>
      <c r="I17" s="2" t="n">
        <v>0</v>
      </c>
      <c r="J17" s="2" t="n">
        <v>43000</v>
      </c>
      <c r="K17" s="2" t="n">
        <v>0</v>
      </c>
      <c r="L17" s="2" t="inlineStr">
        <is>
          <t>강화레포츠파크 서바이벌 + 3,4,5번 짚라인+고카트 트렉3바퀴</t>
        </is>
      </c>
      <c r="M17" s="2" t="n">
        <v>2</v>
      </c>
      <c r="N17" s="2" t="inlineStr">
        <is>
          <t>구매일</t>
        </is>
      </c>
      <c r="O17" s="2" t="inlineStr"/>
      <c r="P17" s="2" t="inlineStr">
        <is>
          <t>30</t>
        </is>
      </c>
      <c r="Q17" s="2" t="inlineStr">
        <is>
          <t>모바일티켓;바로 사용가능</t>
        </is>
      </c>
      <c r="R17" s="2" t="inlineStr">
        <is>
          <t>즉시발송</t>
        </is>
      </c>
      <c r="S17" s="2" t="inlineStr"/>
      <c r="T17" s="2" t="inlineStr">
        <is>
          <t>LMS 문자</t>
        </is>
      </c>
      <c r="U17" s="2" t="inlineStr">
        <is>
          <t>QR/바코드 제시 / 매표소 교환 / 바로 입장 | LMS 바코드 문자 이용권 현장 매표소 제시 후 이용 가능(재발송 가능 상품)</t>
        </is>
      </c>
      <c r="V17" s="2" t="n">
        <v>20</v>
      </c>
      <c r="W17" s="2" t="inlineStr">
        <is>
          <t>기한: 수령 후 7일 이내 | 수수료: 발송·취소 장당 1,000원 | 불가: 부분취소, 기간경과 | 접수: 유선(주중)</t>
        </is>
      </c>
      <c r="X17" s="2" t="inlineStr">
        <is>
          <t>강화레포츠파크</t>
        </is>
      </c>
      <c r="Y17" s="2" t="inlineStr">
        <is>
          <t>인천 강화군 불은면 삼성리 294-6</t>
        </is>
      </c>
      <c r="Z17" s="2" t="inlineStr">
        <is>
          <t>0507-1372-7481</t>
        </is>
      </c>
      <c r="AA17" s="2" t="inlineStr">
        <is>
          <t>https://www.foresttrip.go.kr/indvz/main.do?hmpgId=ID04030105</t>
        </is>
      </c>
      <c r="AB17" s="2" t="inlineStr">
        <is>
          <t>바로 사용가능</t>
        </is>
      </c>
      <c r="AC17" s="2" t="inlineStr">
        <is>
          <t>N</t>
        </is>
      </c>
      <c r="AD17" s="2" t="inlineStr"/>
      <c r="AE17" s="2" t="inlineStr">
        <is>
          <t>2026-09-30T04:39:57</t>
        </is>
      </c>
    </row>
    <row r="18">
      <c r="A18" s="2" t="inlineStr">
        <is>
          <t>325961</t>
        </is>
      </c>
      <c r="B18" s="2" t="inlineStr">
        <is>
          <t>워터파크</t>
        </is>
      </c>
      <c r="C18" s="2" t="inlineStr">
        <is>
          <t>워터파크</t>
        </is>
      </c>
      <c r="D18" s="2" t="inlineStr">
        <is>
          <t>강원</t>
        </is>
      </c>
      <c r="E18" s="2" t="inlineStr">
        <is>
          <t>강원</t>
        </is>
      </c>
      <c r="F18" s="2" t="inlineStr">
        <is>
          <t>정선</t>
        </is>
      </c>
      <c r="G18" s="2" t="inlineStr">
        <is>
          <t>하이원 워터월드</t>
        </is>
      </c>
      <c r="H18" s="2" t="inlineStr">
        <is>
          <t>백두대산 1급 청정 계곡수를 그대로 옮겨 담은~</t>
        </is>
      </c>
      <c r="I18" s="2" t="n">
        <v>64000</v>
      </c>
      <c r="J18" s="2" t="n">
        <v>28000</v>
      </c>
      <c r="K18" s="2" t="n">
        <v>56</v>
      </c>
      <c r="L18" s="2" t="inlineStr">
        <is>
          <t>준성수기 주중 대인권 하이원워터월드(8/31~10/18)</t>
        </is>
      </c>
      <c r="M18" s="2" t="n">
        <v>4</v>
      </c>
      <c r="N18" s="2" t="inlineStr">
        <is>
          <t>2026-08-31</t>
        </is>
      </c>
      <c r="O18" s="2" t="inlineStr">
        <is>
          <t>2026-10-18</t>
        </is>
      </c>
      <c r="P18" s="2" t="inlineStr"/>
      <c r="Q18" s="2" t="inlineStr">
        <is>
          <t>모바일티켓;바로 사용가능</t>
        </is>
      </c>
      <c r="R18" s="2" t="inlineStr">
        <is>
          <t>즉시발송</t>
        </is>
      </c>
      <c r="S18" s="2" t="inlineStr">
        <is>
          <t>플레이스토리</t>
        </is>
      </c>
      <c r="T18" s="2" t="inlineStr">
        <is>
          <t>알림톡/LMS 문자/순차 발송</t>
        </is>
      </c>
      <c r="U18" s="2" t="inlineStr">
        <is>
          <t>QR/바코드 제시 / 매표소 교환 / 바로 입장 | LMS 바코드 번호 키오스크에서 발권 후 이용 가능(재발송 가능 상품)</t>
        </is>
      </c>
      <c r="V18" s="2" t="n">
        <v>20</v>
      </c>
      <c r="W18" s="2" t="inlineStr">
        <is>
          <t>기한: 수령 후 7일 이내 | 수수료: 발송·취소 장당 1,000원 | 불가: 부분취소, 기간경과 | 접수: 유선</t>
        </is>
      </c>
      <c r="X18" s="2" t="inlineStr">
        <is>
          <t>하이원 워터월드</t>
        </is>
      </c>
      <c r="Y18" s="2" t="inlineStr">
        <is>
          <t>강원도 정선군 사북읍 하이원길 175</t>
        </is>
      </c>
      <c r="Z18" s="2" t="inlineStr">
        <is>
          <t>1588-7789</t>
        </is>
      </c>
      <c r="AA18" s="2" t="inlineStr">
        <is>
          <t>https://kangwonland.high1.com/waterworld/index.do</t>
        </is>
      </c>
      <c r="AB18" s="2" t="inlineStr">
        <is>
          <t>바로 사용가능</t>
        </is>
      </c>
      <c r="AC18" s="2" t="inlineStr">
        <is>
          <t>Y</t>
        </is>
      </c>
      <c r="AD18" s="2" t="inlineStr"/>
      <c r="AE18" s="2" t="inlineStr">
        <is>
          <t>2026-09-30T04:39:59</t>
        </is>
      </c>
    </row>
    <row r="19">
      <c r="A19" s="2" t="inlineStr">
        <is>
          <t>326087</t>
        </is>
      </c>
      <c r="B19" s="2" t="inlineStr">
        <is>
          <t>워터파크</t>
        </is>
      </c>
      <c r="C19" s="2" t="inlineStr">
        <is>
          <t>워터파크</t>
        </is>
      </c>
      <c r="D19" s="2" t="inlineStr">
        <is>
          <t>충남</t>
        </is>
      </c>
      <c r="E19" s="2" t="inlineStr">
        <is>
          <t>충청</t>
        </is>
      </c>
      <c r="F19" s="2" t="inlineStr">
        <is>
          <t>예산</t>
        </is>
      </c>
      <c r="G19" s="2" t="inlineStr">
        <is>
          <t>스플라스 리솜 워터파크</t>
        </is>
      </c>
      <c r="H19" s="2" t="inlineStr">
        <is>
          <t>다양한 테마를 갖춘 온천테마파크!</t>
        </is>
      </c>
      <c r="I19" s="2" t="n">
        <v>40000</v>
      </c>
      <c r="J19" s="2" t="n">
        <v>27400</v>
      </c>
      <c r="K19" s="2" t="n">
        <v>32</v>
      </c>
      <c r="L19" s="2" t="inlineStr">
        <is>
          <t>소인입장권 스플라스 워터파크(8/24~10/31)</t>
        </is>
      </c>
      <c r="M19" s="2" t="n">
        <v>2</v>
      </c>
      <c r="N19" s="2" t="inlineStr">
        <is>
          <t>2026-08-24</t>
        </is>
      </c>
      <c r="O19" s="2" t="inlineStr">
        <is>
          <t>2026-10-31</t>
        </is>
      </c>
      <c r="P19" s="2" t="inlineStr"/>
      <c r="Q19" s="2" t="inlineStr">
        <is>
          <t>모바일티켓;바로 사용가능</t>
        </is>
      </c>
      <c r="R19" s="2" t="inlineStr">
        <is>
          <t>즉시발송</t>
        </is>
      </c>
      <c r="S19" s="2" t="inlineStr">
        <is>
          <t>플레이스토리</t>
        </is>
      </c>
      <c r="T19" s="2" t="inlineStr">
        <is>
          <t>알림톡</t>
        </is>
      </c>
      <c r="U19" s="2" t="inlineStr">
        <is>
          <t>매표소 교환 / 바로 입장 | 모바일 이용권 현장 매표소 제시 후 이용 가능(재발송 가능 상품)</t>
        </is>
      </c>
      <c r="V19" s="2" t="n">
        <v>20</v>
      </c>
      <c r="W19" s="2" t="inlineStr">
        <is>
          <t>기한: 수령 후 7일 이내 | 수수료: 발송·취소 장당 1,000원 | 불가: 부분취소, 기간경과 | 접수: 유선</t>
        </is>
      </c>
      <c r="X19" s="2" t="inlineStr">
        <is>
          <t>스플라스 리솜 워터파크</t>
        </is>
      </c>
      <c r="Y19" s="2" t="inlineStr">
        <is>
          <t>충남 예산군 덕산면 온천단지3로 45-7</t>
        </is>
      </c>
      <c r="Z19" s="2" t="inlineStr">
        <is>
          <t>041-330-8062</t>
        </is>
      </c>
      <c r="AA19" s="2" t="inlineStr">
        <is>
          <t>https://www.resom.co.kr/spa/main/main.asp</t>
        </is>
      </c>
      <c r="AB19" s="2" t="inlineStr">
        <is>
          <t>바로 사용가능</t>
        </is>
      </c>
      <c r="AC19" s="2" t="inlineStr">
        <is>
          <t>Y</t>
        </is>
      </c>
      <c r="AD19" s="2" t="inlineStr"/>
      <c r="AE19" s="2" t="inlineStr">
        <is>
          <t>2026-09-30T04:40:02</t>
        </is>
      </c>
    </row>
    <row r="20">
      <c r="A20" s="2" t="inlineStr">
        <is>
          <t>326024</t>
        </is>
      </c>
      <c r="B20" s="2" t="inlineStr">
        <is>
          <t>워터파크</t>
        </is>
      </c>
      <c r="C20" s="2" t="inlineStr">
        <is>
          <t>워터파크</t>
        </is>
      </c>
      <c r="D20" s="2" t="inlineStr">
        <is>
          <t>충북</t>
        </is>
      </c>
      <c r="E20" s="2" t="inlineStr">
        <is>
          <t>충청</t>
        </is>
      </c>
      <c r="F20" s="2" t="inlineStr">
        <is>
          <t>제천</t>
        </is>
      </c>
      <c r="G20" s="2" t="inlineStr">
        <is>
          <t>포레스트 리솜 해브나인 웰니스 스파</t>
        </is>
      </c>
      <c r="H20" s="2" t="inlineStr">
        <is>
          <t>숲 한가운데서 즐기는 노천 스파</t>
        </is>
      </c>
      <c r="I20" s="2" t="n">
        <v>45000</v>
      </c>
      <c r="J20" s="2" t="n">
        <v>31000</v>
      </c>
      <c r="K20" s="2" t="n">
        <v>31</v>
      </c>
      <c r="L20" s="2" t="inlineStr">
        <is>
          <t>소인이용권 포레스트리솜(8/24~10/31)</t>
        </is>
      </c>
      <c r="M20" s="2" t="n">
        <v>2</v>
      </c>
      <c r="N20" s="2" t="inlineStr">
        <is>
          <t>2026-08-24</t>
        </is>
      </c>
      <c r="O20" s="2" t="inlineStr">
        <is>
          <t>2026-10-31</t>
        </is>
      </c>
      <c r="P20" s="2" t="inlineStr"/>
      <c r="Q20" s="2" t="inlineStr">
        <is>
          <t>모바일티켓;바로 사용가능</t>
        </is>
      </c>
      <c r="R20" s="2" t="inlineStr">
        <is>
          <t>즉시발송</t>
        </is>
      </c>
      <c r="S20" s="2" t="inlineStr">
        <is>
          <t>플레이스토리</t>
        </is>
      </c>
      <c r="T20" s="2" t="inlineStr">
        <is>
          <t>알림톡/LMS 문자</t>
        </is>
      </c>
      <c r="U20" s="2" t="inlineStr">
        <is>
          <t>매표소 교환 / 바로 입장 | 알림톡 이용권 현장 매표소 제시 후 이용 가능(재발송 가능 상품)</t>
        </is>
      </c>
      <c r="V20" s="2" t="n">
        <v>10</v>
      </c>
      <c r="W20" s="2" t="inlineStr">
        <is>
          <t>기한: 수령 후 7일 이내 | 수수료: 발송·취소 장당 1,000원 | 불가: 부분취소, 기간경과 | 접수: 유선</t>
        </is>
      </c>
      <c r="X20" s="2" t="inlineStr">
        <is>
          <t>포레스트 리솜 해브나인 스파</t>
        </is>
      </c>
      <c r="Y20" s="2" t="inlineStr">
        <is>
          <t>충청북도 제천시 백운면 금봉로 365</t>
        </is>
      </c>
      <c r="Z20" s="2" t="inlineStr">
        <is>
          <t>043-649-6014</t>
        </is>
      </c>
      <c r="AA20" s="2" t="inlineStr">
        <is>
          <t>http://resom.co.kr/forest/theme/have9.asp?tab=0</t>
        </is>
      </c>
      <c r="AB20" s="2" t="inlineStr">
        <is>
          <t>바로 사용가능</t>
        </is>
      </c>
      <c r="AC20" s="2" t="inlineStr">
        <is>
          <t>Y</t>
        </is>
      </c>
      <c r="AD20" s="2" t="inlineStr"/>
      <c r="AE20" s="2" t="inlineStr">
        <is>
          <t>2026-09-30T04:40:04</t>
        </is>
      </c>
    </row>
    <row r="21">
      <c r="A21" s="2" t="inlineStr">
        <is>
          <t>326150</t>
        </is>
      </c>
      <c r="B21" s="2" t="inlineStr">
        <is>
          <t>워터파크</t>
        </is>
      </c>
      <c r="C21" s="2" t="inlineStr">
        <is>
          <t>워터파크</t>
        </is>
      </c>
      <c r="D21" s="2" t="inlineStr">
        <is>
          <t>충남</t>
        </is>
      </c>
      <c r="E21" s="2" t="inlineStr">
        <is>
          <t>충청</t>
        </is>
      </c>
      <c r="F21" s="2" t="inlineStr">
        <is>
          <t>태안</t>
        </is>
      </c>
      <c r="G21" s="2" t="inlineStr">
        <is>
          <t>아일랜드 리솜 오아식스 선셋스파</t>
        </is>
      </c>
      <c r="H21" s="2" t="inlineStr">
        <is>
          <t>단조로운 일상을 바꿀 오아식스</t>
        </is>
      </c>
      <c r="I21" s="2" t="n">
        <v>40000</v>
      </c>
      <c r="J21" s="2" t="n">
        <v>34500</v>
      </c>
      <c r="K21" s="2" t="n">
        <v>14</v>
      </c>
      <c r="L21" s="2" t="inlineStr">
        <is>
          <t>대인이용권 아일랜드리솜(8/24~10/31)</t>
        </is>
      </c>
      <c r="M21" s="2" t="n">
        <v>1</v>
      </c>
      <c r="N21" s="2" t="inlineStr">
        <is>
          <t>2026-08-24</t>
        </is>
      </c>
      <c r="O21" s="2" t="inlineStr">
        <is>
          <t>2026-10-31</t>
        </is>
      </c>
      <c r="P21" s="2" t="inlineStr"/>
      <c r="Q21" s="2" t="inlineStr">
        <is>
          <t>모바일티켓;바로 사용가능</t>
        </is>
      </c>
      <c r="R21" s="2" t="inlineStr">
        <is>
          <t>즉시발송</t>
        </is>
      </c>
      <c r="S21" s="2" t="inlineStr">
        <is>
          <t>플레이스토리</t>
        </is>
      </c>
      <c r="T21" s="2" t="inlineStr">
        <is>
          <t>알림톡/LMS 문자</t>
        </is>
      </c>
      <c r="U21" s="2" t="inlineStr">
        <is>
          <t>QR/바코드 제시 / 매표소 교환 / 바로 입장 | LMS QR코드 문자 이용권 현장 매표소 제시 후 이용 가능(재발송 가능 상품)</t>
        </is>
      </c>
      <c r="V21" s="2" t="n">
        <v>20</v>
      </c>
      <c r="W21" s="2" t="inlineStr">
        <is>
          <t>기한: 수령 후 7일 이내 | 수수료: 발송·취소 장당 1,000원 | 불가: 부분취소, 기간경과 | 접수: 유선</t>
        </is>
      </c>
      <c r="X21" s="2" t="inlineStr">
        <is>
          <t>아일랜드 리솜 오아식스 선셋스파</t>
        </is>
      </c>
      <c r="Y21" s="2" t="inlineStr">
        <is>
          <t>충남 태안군 안면읍 꽃지해안로 204</t>
        </is>
      </c>
      <c r="Z21" s="2" t="inlineStr">
        <is>
          <t>041-671-7060</t>
        </is>
      </c>
      <c r="AA21" s="2" t="inlineStr">
        <is>
          <t>https://www.resom.co.kr/island/main/main.asp</t>
        </is>
      </c>
      <c r="AB21" s="2" t="inlineStr">
        <is>
          <t>바로 사용가능</t>
        </is>
      </c>
      <c r="AC21" s="2" t="inlineStr">
        <is>
          <t>Y</t>
        </is>
      </c>
      <c r="AD21" s="2" t="inlineStr"/>
      <c r="AE21" s="2" t="inlineStr">
        <is>
          <t>2026-09-30T04:40:06</t>
        </is>
      </c>
    </row>
    <row r="22">
      <c r="A22" s="2" t="inlineStr">
        <is>
          <t>293316</t>
        </is>
      </c>
      <c r="B22" s="2" t="inlineStr">
        <is>
          <t>자동차 구매</t>
        </is>
      </c>
      <c r="C22" s="2" t="inlineStr">
        <is>
          <t>제네시스</t>
        </is>
      </c>
      <c r="D22" s="2" t="inlineStr">
        <is>
          <t>경기</t>
        </is>
      </c>
      <c r="E22" s="2" t="inlineStr">
        <is>
          <t>수도권</t>
        </is>
      </c>
      <c r="F22" s="2" t="inlineStr">
        <is>
          <t>분당오리대리점</t>
        </is>
      </c>
      <c r="G22" s="2" t="inlineStr">
        <is>
          <t>현대자동차(제네시스) 外 전차종 판매</t>
        </is>
      </c>
      <c r="H22" s="2" t="inlineStr">
        <is>
          <t>GV90 26년 6월 출시, G80 26년 하반기 HEV출시, GV80 26년 하반기 HEV출시!!!</t>
        </is>
      </c>
      <c r="I22" s="2" t="n">
        <v>0</v>
      </c>
      <c r="J22" s="2" t="n">
        <v>0</v>
      </c>
      <c r="K22" s="2" t="n">
        <v>100</v>
      </c>
      <c r="L22" s="2" t="inlineStr">
        <is>
          <t>GENESIS GV70 (* 합리적 판매가격 상담문의 010-5014-3608)</t>
        </is>
      </c>
      <c r="M22" s="2" t="n">
        <v>4</v>
      </c>
      <c r="N22" s="2" t="inlineStr">
        <is>
          <t>구매일</t>
        </is>
      </c>
      <c r="O22" s="2" t="inlineStr"/>
      <c r="P22" s="2" t="inlineStr">
        <is>
          <t>0</t>
        </is>
      </c>
      <c r="Q22" s="2" t="inlineStr">
        <is>
          <t>;광고상품</t>
        </is>
      </c>
      <c r="R22" s="2" t="inlineStr">
        <is>
          <t>광고상품</t>
        </is>
      </c>
      <c r="S22" s="2" t="inlineStr"/>
      <c r="T22" s="2" t="inlineStr"/>
      <c r="U22" s="2" t="inlineStr"/>
      <c r="V22" s="2" t="n">
        <v>10</v>
      </c>
      <c r="W22" s="2" t="inlineStr"/>
      <c r="X22" s="2" t="inlineStr">
        <is>
          <t>현대자동차 분당오리대리점</t>
        </is>
      </c>
      <c r="Y22" s="2" t="inlineStr">
        <is>
          <t>경기도 성남시 분당구 성남대로 30, 동아그린프라자 1층(구미동)</t>
        </is>
      </c>
      <c r="Z22" s="2" t="inlineStr">
        <is>
          <t>양원석 부장 010-5014-3608 / yws3608@naver.com</t>
        </is>
      </c>
      <c r="AA22" s="2" t="inlineStr">
        <is>
          <t>https://www.genesis.com/kr/ko/main.html</t>
        </is>
      </c>
      <c r="AB22" s="2" t="inlineStr">
        <is>
          <t>광고상품</t>
        </is>
      </c>
      <c r="AC22" s="2" t="inlineStr">
        <is>
          <t>N</t>
        </is>
      </c>
      <c r="AD22" s="2" t="inlineStr"/>
      <c r="AE22" s="2" t="inlineStr">
        <is>
          <t>2026-09-30T04:40:08</t>
        </is>
      </c>
    </row>
    <row r="23">
      <c r="A23" s="2" t="inlineStr">
        <is>
          <t>311872</t>
        </is>
      </c>
      <c r="B23" s="2" t="inlineStr">
        <is>
          <t>테마파크</t>
        </is>
      </c>
      <c r="C23" s="2" t="inlineStr">
        <is>
          <t>테마파크</t>
        </is>
      </c>
      <c r="D23" s="2" t="inlineStr">
        <is>
          <t>부산</t>
        </is>
      </c>
      <c r="E23" s="2" t="inlineStr">
        <is>
          <t>영남</t>
        </is>
      </c>
      <c r="F23" s="2" t="inlineStr">
        <is>
          <t>부산</t>
        </is>
      </c>
      <c r="G23" s="2" t="inlineStr">
        <is>
          <t>부산영화체험박물관 + 씨네뮤지엄 PKG</t>
        </is>
      </c>
      <c r="H23" s="2" t="inlineStr">
        <is>
          <t>영화의 도시, 부산에서 즐기는 영화탐험</t>
        </is>
      </c>
      <c r="I23" s="2" t="n">
        <v>20000</v>
      </c>
      <c r="J23" s="2" t="n">
        <v>10800</v>
      </c>
      <c r="K23" s="2" t="n">
        <v>46</v>
      </c>
      <c r="L23" s="2" t="inlineStr">
        <is>
          <t>대소공통 통합권 부산영화체험박물관PKG</t>
        </is>
      </c>
      <c r="M23" s="2" t="n">
        <v>1</v>
      </c>
      <c r="N23" s="2" t="inlineStr">
        <is>
          <t>구매일</t>
        </is>
      </c>
      <c r="O23" s="2" t="inlineStr"/>
      <c r="P23" s="2" t="inlineStr">
        <is>
          <t>60</t>
        </is>
      </c>
      <c r="Q23" s="2" t="inlineStr">
        <is>
          <t>모바일티켓;바로 사용가능</t>
        </is>
      </c>
      <c r="R23" s="2" t="inlineStr">
        <is>
          <t>즉시발송</t>
        </is>
      </c>
      <c r="S23" s="2" t="inlineStr"/>
      <c r="T23" s="2" t="inlineStr">
        <is>
          <t>LMS 문자</t>
        </is>
      </c>
      <c r="U23" s="2" t="inlineStr">
        <is>
          <t>매표소 교환 / 바로 입장 | 모바일 이용권 현장 매표소 제시 및 발권 후 이용 가능(재발송 가능 상품)</t>
        </is>
      </c>
      <c r="V23" s="2" t="n">
        <v>100</v>
      </c>
      <c r="W23" s="2" t="inlineStr">
        <is>
          <t>기한: 수령 후 7일 이내 | 수수료: 발송·취소 장당 1,000원 | 불가: 부분취소, 기간경과 | 접수: 유선</t>
        </is>
      </c>
      <c r="X23" s="2" t="inlineStr">
        <is>
          <t>부산영화체험박물관</t>
        </is>
      </c>
      <c r="Y23" s="2" t="inlineStr">
        <is>
          <t>부산 중구 대청로126번길 12 부산영화체험박물관</t>
        </is>
      </c>
      <c r="Z23" s="2" t="inlineStr">
        <is>
          <t>051-468-8383</t>
        </is>
      </c>
      <c r="AA23" s="2" t="inlineStr">
        <is>
          <t>https://busanbom.kr/</t>
        </is>
      </c>
      <c r="AB23" s="2" t="inlineStr">
        <is>
          <t>바로 사용가능</t>
        </is>
      </c>
      <c r="AC23" s="2" t="inlineStr">
        <is>
          <t>Y</t>
        </is>
      </c>
      <c r="AD23" s="2" t="inlineStr"/>
      <c r="AE23" s="2" t="inlineStr">
        <is>
          <t>2026-09-30T04:40:11</t>
        </is>
      </c>
    </row>
    <row r="24">
      <c r="A24" s="2" t="inlineStr">
        <is>
          <t>326465</t>
        </is>
      </c>
      <c r="B24" s="2" t="inlineStr">
        <is>
          <t>워터파크</t>
        </is>
      </c>
      <c r="C24" s="2" t="inlineStr">
        <is>
          <t>워터파크</t>
        </is>
      </c>
      <c r="D24" s="2" t="inlineStr">
        <is>
          <t>충남</t>
        </is>
      </c>
      <c r="E24" s="2" t="inlineStr">
        <is>
          <t>충청</t>
        </is>
      </c>
      <c r="F24" s="2" t="inlineStr">
        <is>
          <t>아산</t>
        </is>
      </c>
      <c r="G24" s="2" t="inlineStr">
        <is>
          <t>파라다이스 스파 도고</t>
        </is>
      </c>
      <c r="H24" s="2" t="inlineStr">
        <is>
          <t>프리미엄 온천 테마 워터파크!</t>
        </is>
      </c>
      <c r="I24" s="2" t="n">
        <v>55000</v>
      </c>
      <c r="J24" s="2" t="n">
        <v>28900</v>
      </c>
      <c r="K24" s="2" t="n">
        <v>47</v>
      </c>
      <c r="L24" s="2" t="inlineStr">
        <is>
          <t>로우시즌 종일권 스파 도고(9/1~12/17)</t>
        </is>
      </c>
      <c r="M24" s="2" t="n">
        <v>1</v>
      </c>
      <c r="N24" s="2" t="inlineStr">
        <is>
          <t>2026-09-01</t>
        </is>
      </c>
      <c r="O24" s="2" t="inlineStr">
        <is>
          <t>2026-12-17</t>
        </is>
      </c>
      <c r="P24" s="2" t="inlineStr"/>
      <c r="Q24" s="2" t="inlineStr">
        <is>
          <t>모바일티켓;바로 사용가능</t>
        </is>
      </c>
      <c r="R24" s="2" t="inlineStr">
        <is>
          <t>즉시발송</t>
        </is>
      </c>
      <c r="S24" s="2" t="inlineStr">
        <is>
          <t>파라다이스 스파 도고</t>
        </is>
      </c>
      <c r="T24" s="2" t="inlineStr">
        <is>
          <t>알림톡</t>
        </is>
      </c>
      <c r="U24" s="2" t="inlineStr">
        <is>
          <t>QR/바코드 제시 / 매표소 교환 / 바로 입장 | 알림톡 현장 매표소 또는 키오스크에서 발권 후 이용 가능(재발송 가능 상품)</t>
        </is>
      </c>
      <c r="V24" s="2" t="n">
        <v>10</v>
      </c>
      <c r="W24" s="2" t="inlineStr">
        <is>
          <t>기한: 수령 후 7일 이내 | 수수료: 발송·취소 장당 1,000원 | 불가: 부분취소, 기간경과 | 접수: 유선</t>
        </is>
      </c>
      <c r="X24" s="2" t="inlineStr">
        <is>
          <t>파라다이스스파도고</t>
        </is>
      </c>
      <c r="Y24" s="2" t="inlineStr">
        <is>
          <t>충남 아산시 도고면 도고온천로 176</t>
        </is>
      </c>
      <c r="Z24" s="2" t="inlineStr">
        <is>
          <t>041-537-7100</t>
        </is>
      </c>
      <c r="AA24" s="2" t="inlineStr">
        <is>
          <t>http://www.paradisespa.co.kr/</t>
        </is>
      </c>
      <c r="AB24" s="2" t="inlineStr">
        <is>
          <t>바로 사용가능</t>
        </is>
      </c>
      <c r="AC24" s="2" t="inlineStr">
        <is>
          <t>Y</t>
        </is>
      </c>
      <c r="AD24" s="2" t="inlineStr"/>
      <c r="AE24" s="2" t="inlineStr">
        <is>
          <t>2026-09-30T04:40:13</t>
        </is>
      </c>
    </row>
    <row r="25">
      <c r="A25" s="2" t="inlineStr">
        <is>
          <t>325709</t>
        </is>
      </c>
      <c r="B25" s="2" t="inlineStr">
        <is>
          <t>워터파크</t>
        </is>
      </c>
      <c r="C25" s="2" t="inlineStr">
        <is>
          <t>워터파크</t>
        </is>
      </c>
      <c r="D25" s="2" t="inlineStr">
        <is>
          <t>강원</t>
        </is>
      </c>
      <c r="E25" s="2" t="inlineStr">
        <is>
          <t>강원</t>
        </is>
      </c>
      <c r="F25" s="2" t="inlineStr">
        <is>
          <t>속초</t>
        </is>
      </c>
      <c r="G25" s="2" t="inlineStr">
        <is>
          <t>설악 워터피아</t>
        </is>
      </c>
      <c r="H25" s="2" t="inlineStr">
        <is>
          <t>설악 워터피아에서 즐기는 세계스파여행</t>
        </is>
      </c>
      <c r="I25" s="2" t="n">
        <v>124000</v>
      </c>
      <c r="J25" s="2" t="n">
        <v>68000</v>
      </c>
      <c r="K25" s="2" t="n">
        <v>45</v>
      </c>
      <c r="L25" s="2" t="inlineStr">
        <is>
          <t>2인 주간권 미들시즌 설악워터피아(8/24~10/11)</t>
        </is>
      </c>
      <c r="M25" s="2" t="n">
        <v>9</v>
      </c>
      <c r="N25" s="2" t="inlineStr">
        <is>
          <t>2026-08-24</t>
        </is>
      </c>
      <c r="O25" s="2" t="inlineStr">
        <is>
          <t>2026-10-11</t>
        </is>
      </c>
      <c r="P25" s="2" t="inlineStr"/>
      <c r="Q25" s="2" t="inlineStr">
        <is>
          <t>모바일티켓;바로 사용가능</t>
        </is>
      </c>
      <c r="R25" s="2" t="inlineStr">
        <is>
          <t>즉시발송</t>
        </is>
      </c>
      <c r="S25" s="2" t="inlineStr">
        <is>
          <t>엘에스컴퍼니</t>
        </is>
      </c>
      <c r="T25" s="2" t="inlineStr">
        <is>
          <t>알림톡</t>
        </is>
      </c>
      <c r="U25" s="2" t="inlineStr">
        <is>
          <t>바로 입장 | 모바일 이용권 현장 제시 후 이용 가능(재발송 가능 상품)</t>
        </is>
      </c>
      <c r="V25" s="2" t="n">
        <v>20</v>
      </c>
      <c r="W25" s="2" t="inlineStr">
        <is>
          <t>기한: 수령 후 7일 이내 | 수수료: 발송·취소 장당 1,000원 | 불가: 부분취소, 기간경과 | 접수: 유선</t>
        </is>
      </c>
      <c r="X25" s="2" t="inlineStr">
        <is>
          <t>한화리조트 설악 워터피아</t>
        </is>
      </c>
      <c r="Y25" s="2" t="inlineStr">
        <is>
          <t>강원 속초시 장사동 24-1</t>
        </is>
      </c>
      <c r="Z25" s="2" t="inlineStr">
        <is>
          <t>033-630-5800</t>
        </is>
      </c>
      <c r="AA25" s="2" t="inlineStr">
        <is>
          <t>https://www.hanwharesort.co.kr/irsweb/resort3/tpark/tp_intro.do?tp_cd=0100</t>
        </is>
      </c>
      <c r="AB25" s="2" t="inlineStr">
        <is>
          <t>바로 사용가능</t>
        </is>
      </c>
      <c r="AC25" s="2" t="inlineStr">
        <is>
          <t>Y</t>
        </is>
      </c>
      <c r="AD25" s="2" t="inlineStr"/>
      <c r="AE25" s="2" t="inlineStr">
        <is>
          <t>2026-09-30T04:40:16</t>
        </is>
      </c>
    </row>
    <row r="26">
      <c r="A26" s="2" t="inlineStr">
        <is>
          <t>330127</t>
        </is>
      </c>
      <c r="B26" s="2" t="inlineStr">
        <is>
          <t>워터파크</t>
        </is>
      </c>
      <c r="C26" s="2" t="inlineStr">
        <is>
          <t>워터파크</t>
        </is>
      </c>
      <c r="D26" s="2" t="inlineStr">
        <is>
          <t>경기</t>
        </is>
      </c>
      <c r="E26" s="2" t="inlineStr">
        <is>
          <t>수도권</t>
        </is>
      </c>
      <c r="F26" s="2" t="inlineStr">
        <is>
          <t>부천</t>
        </is>
      </c>
      <c r="G26" s="2" t="inlineStr">
        <is>
          <t>웅진플레이도시 워터파크</t>
        </is>
      </c>
      <c r="H26" s="2" t="inlineStr">
        <is>
          <t>언제나 신나는 웅플!파도파도~끝없는 즐거움</t>
        </is>
      </c>
      <c r="I26" s="2" t="n">
        <v>60000</v>
      </c>
      <c r="J26" s="2" t="n">
        <v>27000</v>
      </c>
      <c r="K26" s="2" t="n">
        <v>55</v>
      </c>
      <c r="L26" s="2" t="inlineStr">
        <is>
          <t>종일권 로우시즌 웅진플레이도시(~10/31)</t>
        </is>
      </c>
      <c r="M26" s="2" t="n">
        <v>1</v>
      </c>
      <c r="N26" s="2" t="inlineStr">
        <is>
          <t>2026-09-07</t>
        </is>
      </c>
      <c r="O26" s="2" t="inlineStr">
        <is>
          <t>2026-10-31</t>
        </is>
      </c>
      <c r="P26" s="2" t="inlineStr"/>
      <c r="Q26" s="2" t="inlineStr">
        <is>
          <t>모바일티켓;바로 사용가능</t>
        </is>
      </c>
      <c r="R26" s="2" t="inlineStr">
        <is>
          <t>즉시발송</t>
        </is>
      </c>
      <c r="S26" s="2" t="inlineStr">
        <is>
          <t>놀이의발견</t>
        </is>
      </c>
      <c r="T26" s="2" t="inlineStr">
        <is>
          <t>알림톡</t>
        </is>
      </c>
      <c r="U26" s="2" t="inlineStr">
        <is>
          <t>매표소 교환 / 바로 입장 | 알림톡 이용권 현장 매표소 제시 후 이용 가능(재발송 가능 상품)</t>
        </is>
      </c>
      <c r="V26" s="2" t="n">
        <v>10</v>
      </c>
      <c r="W26" s="2" t="inlineStr">
        <is>
          <t>기한: 수령 후 7일 이내 | 수수료: 발송·취소 장당 1,000원 | 불가: 부분취소, 기간경과 | 접수: 유선</t>
        </is>
      </c>
      <c r="X26" s="2" t="inlineStr">
        <is>
          <t>웅진플레이도시</t>
        </is>
      </c>
      <c r="Y26" s="2" t="inlineStr">
        <is>
          <t>경기 부천시 조마루로 2</t>
        </is>
      </c>
      <c r="Z26" s="2" t="inlineStr">
        <is>
          <t>1577-5773</t>
        </is>
      </c>
      <c r="AA26" s="2" t="inlineStr">
        <is>
          <t>http://www.playdoci.com/index.aspx</t>
        </is>
      </c>
      <c r="AB26" s="2" t="inlineStr">
        <is>
          <t>바로 사용가능</t>
        </is>
      </c>
      <c r="AC26" s="2" t="inlineStr">
        <is>
          <t>Y</t>
        </is>
      </c>
      <c r="AD26" s="2" t="inlineStr"/>
      <c r="AE26" s="2" t="inlineStr">
        <is>
          <t>2026-09-30T04:40:19</t>
        </is>
      </c>
    </row>
    <row r="27">
      <c r="A27" s="2" t="inlineStr">
        <is>
          <t>319087</t>
        </is>
      </c>
      <c r="B27" s="2" t="inlineStr">
        <is>
          <t>테마파크</t>
        </is>
      </c>
      <c r="C27" s="2" t="inlineStr">
        <is>
          <t>테마파크</t>
        </is>
      </c>
      <c r="D27" s="2" t="inlineStr">
        <is>
          <t>부산</t>
        </is>
      </c>
      <c r="E27" s="2" t="inlineStr">
        <is>
          <t>영남</t>
        </is>
      </c>
      <c r="F27" s="2" t="inlineStr">
        <is>
          <t>부산</t>
        </is>
      </c>
      <c r="G27" s="2" t="inlineStr">
        <is>
          <t>런닝맨&amp;다이나믹메이즈</t>
        </is>
      </c>
      <c r="H27" s="2" t="inlineStr">
        <is>
          <t>익사이팅 실내 어트랙션!</t>
        </is>
      </c>
      <c r="I27" s="2" t="n">
        <v>19000</v>
      </c>
      <c r="J27" s="2" t="n">
        <v>14000</v>
      </c>
      <c r="K27" s="2" t="n">
        <v>26</v>
      </c>
      <c r="L27" s="2" t="inlineStr">
        <is>
          <t>이용권 런닝맨(60분)(~10/31)</t>
        </is>
      </c>
      <c r="M27" s="2" t="n">
        <v>5</v>
      </c>
      <c r="N27" s="2" t="inlineStr">
        <is>
          <t>2025-12-01</t>
        </is>
      </c>
      <c r="O27" s="2" t="inlineStr">
        <is>
          <t>2026-10-31</t>
        </is>
      </c>
      <c r="P27" s="2" t="inlineStr"/>
      <c r="Q27" s="2" t="inlineStr">
        <is>
          <t>모바일티켓;바로 사용가능</t>
        </is>
      </c>
      <c r="R27" s="2" t="inlineStr">
        <is>
          <t>즉시발송</t>
        </is>
      </c>
      <c r="S27" s="2" t="inlineStr"/>
      <c r="T27" s="2" t="inlineStr">
        <is>
          <t>LMS 문자</t>
        </is>
      </c>
      <c r="U27" s="2" t="inlineStr">
        <is>
          <t>QR/바코드 제시 / 매표소 교환 / 바로 입장 | LMS 바코드 문자 이용권 현장 매표소 제시 후 이용 가능(재발송 가능 상품)</t>
        </is>
      </c>
      <c r="V27" s="2" t="n">
        <v>100</v>
      </c>
      <c r="W27" s="2" t="inlineStr">
        <is>
          <t>기한: 구매 후 7일 이내 | 수수료: 발송·취소 장당 1,000원 | 불가: 부분취소, 기간경과 | 접수: 유선</t>
        </is>
      </c>
      <c r="X27" s="2" t="inlineStr">
        <is>
          <t>런닝맨+다이나믹메이즈 부산점</t>
        </is>
      </c>
      <c r="Y27" s="2" t="inlineStr">
        <is>
          <t>부산 부산진구 중앙대로 672 삼정타워 10층</t>
        </is>
      </c>
      <c r="Z27" s="2" t="inlineStr">
        <is>
          <t>051-520-3636</t>
        </is>
      </c>
      <c r="AA27" s="2" t="inlineStr">
        <is>
          <t>http://www.running-man.co.kr/episode/episode2.php/ ; http://www.dynamicmaze.com/episode/busan.php</t>
        </is>
      </c>
      <c r="AB27" s="2" t="inlineStr">
        <is>
          <t>바로 사용가능</t>
        </is>
      </c>
      <c r="AC27" s="2" t="inlineStr">
        <is>
          <t>Y</t>
        </is>
      </c>
      <c r="AD27" s="2" t="inlineStr"/>
      <c r="AE27" s="2" t="inlineStr">
        <is>
          <t>2026-09-30T04:40:22</t>
        </is>
      </c>
    </row>
    <row r="28">
      <c r="A28" s="2" t="inlineStr">
        <is>
          <t>319150</t>
        </is>
      </c>
      <c r="B28" s="2" t="inlineStr">
        <is>
          <t>테마파크</t>
        </is>
      </c>
      <c r="C28" s="2" t="inlineStr">
        <is>
          <t>테마파크</t>
        </is>
      </c>
      <c r="D28" s="2" t="inlineStr">
        <is>
          <t>서울</t>
        </is>
      </c>
      <c r="E28" s="2" t="inlineStr">
        <is>
          <t>수도권</t>
        </is>
      </c>
      <c r="F28" s="2" t="inlineStr">
        <is>
          <t>인사동</t>
        </is>
      </c>
      <c r="G28" s="2" t="inlineStr">
        <is>
          <t>런닝맨 or 다이나믹메이즈</t>
        </is>
      </c>
      <c r="H28" s="2" t="inlineStr">
        <is>
          <t>익사이팅 실내 어트랙션!</t>
        </is>
      </c>
      <c r="I28" s="2" t="n">
        <v>19000</v>
      </c>
      <c r="J28" s="2" t="n">
        <v>15000</v>
      </c>
      <c r="K28" s="2" t="n">
        <v>21</v>
      </c>
      <c r="L28" s="2" t="inlineStr">
        <is>
          <t>런닝맨 1시간 이용권(~10/31)</t>
        </is>
      </c>
      <c r="M28" s="2" t="n">
        <v>3</v>
      </c>
      <c r="N28" s="2" t="inlineStr">
        <is>
          <t>2025-12-01</t>
        </is>
      </c>
      <c r="O28" s="2" t="inlineStr">
        <is>
          <t>2026-10-31</t>
        </is>
      </c>
      <c r="P28" s="2" t="inlineStr"/>
      <c r="Q28" s="2" t="inlineStr">
        <is>
          <t>모바일티켓;바로 사용가능</t>
        </is>
      </c>
      <c r="R28" s="2" t="inlineStr">
        <is>
          <t>즉시발송</t>
        </is>
      </c>
      <c r="S28" s="2" t="inlineStr"/>
      <c r="T28" s="2" t="inlineStr">
        <is>
          <t>LMS 문자</t>
        </is>
      </c>
      <c r="U28" s="2" t="inlineStr">
        <is>
          <t>QR/바코드 제시 / 매표소 교환 / 바로 입장 | LMS 바코드 문자 이용권 현장 매표소 제시 후 이용 가능(재발송 가능 상품)</t>
        </is>
      </c>
      <c r="V28" s="2" t="n">
        <v>100</v>
      </c>
      <c r="W28" s="2" t="inlineStr">
        <is>
          <t>기한: 구매 후 7일 이내 | 수수료: 발송·취소 장당 1,000원 | 불가: 부분취소, 기간경과 | 접수: 유선</t>
        </is>
      </c>
      <c r="X28" s="2" t="inlineStr">
        <is>
          <t>런닝맨&amp;다이나믹메이즈 인사동점</t>
        </is>
      </c>
      <c r="Y28" s="2" t="inlineStr">
        <is>
          <t>서울 종로구 인사동길 12 대일빌딩 지하1층</t>
        </is>
      </c>
      <c r="Z28" s="2" t="inlineStr">
        <is>
          <t>02-2034-0600</t>
        </is>
      </c>
      <c r="AA28" s="2" t="inlineStr">
        <is>
          <t>http://www.running-man.co.kr/ ; http://www.dynamicmaze.com/</t>
        </is>
      </c>
      <c r="AB28" s="2" t="inlineStr">
        <is>
          <t>바로 사용가능</t>
        </is>
      </c>
      <c r="AC28" s="2" t="inlineStr">
        <is>
          <t>Y</t>
        </is>
      </c>
      <c r="AD28" s="2" t="inlineStr"/>
      <c r="AE28" s="2" t="inlineStr">
        <is>
          <t>2026-09-30T04:40:24</t>
        </is>
      </c>
    </row>
    <row r="29">
      <c r="A29" s="2" t="inlineStr">
        <is>
          <t>292620</t>
        </is>
      </c>
      <c r="B29" s="2" t="inlineStr">
        <is>
          <t>테마파크</t>
        </is>
      </c>
      <c r="C29" s="2" t="inlineStr">
        <is>
          <t>테마파크</t>
        </is>
      </c>
      <c r="D29" s="2" t="inlineStr">
        <is>
          <t>경기</t>
        </is>
      </c>
      <c r="E29" s="2" t="inlineStr">
        <is>
          <t>수도권</t>
        </is>
      </c>
      <c r="F29" s="2" t="inlineStr">
        <is>
          <t>화성</t>
        </is>
      </c>
      <c r="G29" s="2" t="inlineStr">
        <is>
          <t>네이처스케이프 플러스</t>
        </is>
      </c>
      <c r="H29" s="2" t="inlineStr">
        <is>
          <t>새로운 모험이 기다리는 곳</t>
        </is>
      </c>
      <c r="I29" s="2" t="n">
        <v>29500</v>
      </c>
      <c r="J29" s="2" t="n">
        <v>19000</v>
      </c>
      <c r="K29" s="2" t="n">
        <v>36</v>
      </c>
      <c r="L29" s="2" t="inlineStr">
        <is>
          <t>주중종일·주말4시간 이용권 네이처스케이프플러스</t>
        </is>
      </c>
      <c r="M29" s="2" t="n">
        <v>1</v>
      </c>
      <c r="N29" s="2" t="inlineStr">
        <is>
          <t>구매일</t>
        </is>
      </c>
      <c r="O29" s="2" t="inlineStr"/>
      <c r="P29" s="2" t="inlineStr">
        <is>
          <t>60</t>
        </is>
      </c>
      <c r="Q29" s="2" t="inlineStr">
        <is>
          <t>모바일티켓;바로 사용가능</t>
        </is>
      </c>
      <c r="R29" s="2" t="inlineStr">
        <is>
          <t>즉시발송</t>
        </is>
      </c>
      <c r="S29" s="2" t="inlineStr"/>
      <c r="T29" s="2" t="inlineStr">
        <is>
          <t>LMS 문자</t>
        </is>
      </c>
      <c r="U29" s="2" t="inlineStr">
        <is>
          <t>QR/바코드 제시 / 매표소 교환 | LMS 바코드 문자 이용권 현장 매표소 제시 후 이용 가능(재발송 가능 상품)</t>
        </is>
      </c>
      <c r="V29" s="2" t="n">
        <v>50</v>
      </c>
      <c r="W29" s="2" t="inlineStr">
        <is>
          <t>기한: 수령 후 7일 이내 | 수수료: 발송·취소 장당 1,000원 | 불가: 부분취소, 기간경과 | 접수: 유선</t>
        </is>
      </c>
      <c r="X29" s="2" t="inlineStr">
        <is>
          <t>네이처스케이프플러스</t>
        </is>
      </c>
      <c r="Y29" s="2" t="inlineStr">
        <is>
          <t>경기 화성시 동탄대로5길 21 라크몽 A동 4층~5층</t>
        </is>
      </c>
      <c r="Z29" s="2" t="inlineStr">
        <is>
          <t>031-1533-1245</t>
        </is>
      </c>
      <c r="AA29" s="2" t="inlineStr">
        <is>
          <t>https://www.instagram.com/naturescapeplus/</t>
        </is>
      </c>
      <c r="AB29" s="2" t="inlineStr">
        <is>
          <t>바로 사용가능</t>
        </is>
      </c>
      <c r="AC29" s="2" t="inlineStr">
        <is>
          <t>Y</t>
        </is>
      </c>
      <c r="AD29" s="2" t="inlineStr"/>
      <c r="AE29" s="2" t="inlineStr">
        <is>
          <t>2026-09-30T04:40:27</t>
        </is>
      </c>
    </row>
    <row r="30">
      <c r="A30" s="2" t="inlineStr">
        <is>
          <t>327851</t>
        </is>
      </c>
      <c r="B30" s="2" t="inlineStr">
        <is>
          <t>테마파크</t>
        </is>
      </c>
      <c r="C30" s="2" t="inlineStr">
        <is>
          <t>테마파크</t>
        </is>
      </c>
      <c r="D30" s="2" t="inlineStr">
        <is>
          <t>강원</t>
        </is>
      </c>
      <c r="E30" s="2" t="inlineStr">
        <is>
          <t>강원</t>
        </is>
      </c>
      <c r="F30" s="2" t="inlineStr">
        <is>
          <t>홍천</t>
        </is>
      </c>
      <c r="G30" s="2" t="inlineStr">
        <is>
          <t>알파카월드</t>
        </is>
      </c>
      <c r="H30" s="2" t="inlineStr">
        <is>
          <t>세계 최초, 세계 유일의 알파카 테마파크!</t>
        </is>
      </c>
      <c r="I30" s="2" t="n">
        <v>18000</v>
      </c>
      <c r="J30" s="2" t="n">
        <v>14500</v>
      </c>
      <c r="K30" s="2" t="n">
        <v>19</v>
      </c>
      <c r="L30" s="2" t="inlineStr">
        <is>
          <t>1인 입장권 알파카월드(~11/30)</t>
        </is>
      </c>
      <c r="M30" s="2" t="n">
        <v>1</v>
      </c>
      <c r="N30" s="2" t="inlineStr">
        <is>
          <t>구매일</t>
        </is>
      </c>
      <c r="O30" s="2" t="inlineStr">
        <is>
          <t>2026-11-30</t>
        </is>
      </c>
      <c r="P30" s="2" t="inlineStr"/>
      <c r="Q30" s="2" t="inlineStr">
        <is>
          <t>모바일티켓;바로 사용가능</t>
        </is>
      </c>
      <c r="R30" s="2" t="inlineStr">
        <is>
          <t>즉시발송</t>
        </is>
      </c>
      <c r="S30" s="2" t="inlineStr">
        <is>
          <t>엘에스컴퍼니</t>
        </is>
      </c>
      <c r="T30" s="2" t="inlineStr">
        <is>
          <t>알림톡</t>
        </is>
      </c>
      <c r="U30" s="2" t="inlineStr">
        <is>
          <t>매표소 교환 / 바로 입장 | 모바일 이용권 현장 매표소 제시 후 이용 가능(재발송 가능 상품)</t>
        </is>
      </c>
      <c r="V30" s="2" t="n">
        <v>20</v>
      </c>
      <c r="W30" s="2" t="inlineStr">
        <is>
          <t>기한: 수령 후 7일 이내 | 수수료: 발송·취소 장당 1,000원 | 불가: 부분취소, 기간경과 | 접수: 유선(주중)</t>
        </is>
      </c>
      <c r="X30" s="2" t="inlineStr">
        <is>
          <t>알파카월드</t>
        </is>
      </c>
      <c r="Y30" s="2" t="inlineStr">
        <is>
          <t>강원 홍천군 화촌면 덕밭재길 146-155</t>
        </is>
      </c>
      <c r="Z30" s="2" t="inlineStr">
        <is>
          <t>1899-2250</t>
        </is>
      </c>
      <c r="AA30" s="2" t="inlineStr"/>
      <c r="AB30" s="2" t="inlineStr">
        <is>
          <t>바로 사용가능</t>
        </is>
      </c>
      <c r="AC30" s="2" t="inlineStr">
        <is>
          <t>Y</t>
        </is>
      </c>
      <c r="AD30" s="2" t="inlineStr"/>
      <c r="AE30" s="2" t="inlineStr">
        <is>
          <t>2026-09-30T04:40:29</t>
        </is>
      </c>
    </row>
    <row r="31">
      <c r="A31" s="2" t="inlineStr">
        <is>
          <t>322055</t>
        </is>
      </c>
      <c r="B31" s="2" t="inlineStr">
        <is>
          <t>테마파크</t>
        </is>
      </c>
      <c r="C31" s="2" t="inlineStr">
        <is>
          <t>테마파크</t>
        </is>
      </c>
      <c r="D31" s="2" t="inlineStr">
        <is>
          <t>경기</t>
        </is>
      </c>
      <c r="E31" s="2" t="inlineStr">
        <is>
          <t>수도권</t>
        </is>
      </c>
      <c r="F31" s="2" t="inlineStr">
        <is>
          <t>경기</t>
        </is>
      </c>
      <c r="G31" s="2" t="inlineStr">
        <is>
          <t>허브아일랜드</t>
        </is>
      </c>
      <c r="H31" s="2" t="inlineStr">
        <is>
          <t>365일 꺼지지 않는 불빛동화축제</t>
        </is>
      </c>
      <c r="I31" s="2" t="n">
        <v>8000</v>
      </c>
      <c r="J31" s="2" t="n">
        <v>7000</v>
      </c>
      <c r="K31" s="2" t="n">
        <v>13</v>
      </c>
      <c r="L31" s="2" t="inlineStr">
        <is>
          <t>1인 주중 소인 입장권 허브아일랜드(~12/31)</t>
        </is>
      </c>
      <c r="M31" s="2" t="n">
        <v>4</v>
      </c>
      <c r="N31" s="2" t="inlineStr">
        <is>
          <t>구매일</t>
        </is>
      </c>
      <c r="O31" s="2" t="inlineStr">
        <is>
          <t>2026-12-31</t>
        </is>
      </c>
      <c r="P31" s="2" t="inlineStr"/>
      <c r="Q31" s="2" t="inlineStr">
        <is>
          <t>모바일티켓;바로 사용가능</t>
        </is>
      </c>
      <c r="R31" s="2" t="inlineStr">
        <is>
          <t>즉시발송</t>
        </is>
      </c>
      <c r="S31" s="2" t="inlineStr">
        <is>
          <t>엘에스컴퍼니</t>
        </is>
      </c>
      <c r="T31" s="2" t="inlineStr">
        <is>
          <t>알림톡</t>
        </is>
      </c>
      <c r="U31" s="2" t="inlineStr">
        <is>
          <t>매표소 교환 / 바로 입장 | 모바일 이용권 현장 매표소 제시 후 이용 가능(재발송 가능 상품)</t>
        </is>
      </c>
      <c r="V31" s="2" t="n">
        <v>20</v>
      </c>
      <c r="W31" s="2" t="inlineStr">
        <is>
          <t>기한: 수령 후 7일 이내 | 수수료: 발송·취소 장당 1,000원 | 불가: 부분취소, 기간경과 | 접수: 유선(주중)</t>
        </is>
      </c>
      <c r="X31" s="2" t="inlineStr">
        <is>
          <t>허브아일랜드</t>
        </is>
      </c>
      <c r="Y31" s="2" t="inlineStr">
        <is>
          <t>경기 포천시 신북면 청신로947번길 51 허브아일랜드</t>
        </is>
      </c>
      <c r="Z31" s="2" t="inlineStr">
        <is>
          <t>031-535-6494</t>
        </is>
      </c>
      <c r="AA31" s="2" t="inlineStr"/>
      <c r="AB31" s="2" t="inlineStr">
        <is>
          <t>바로 사용가능</t>
        </is>
      </c>
      <c r="AC31" s="2" t="inlineStr">
        <is>
          <t>Y</t>
        </is>
      </c>
      <c r="AD31" s="2" t="inlineStr"/>
      <c r="AE31" s="2" t="inlineStr">
        <is>
          <t>2026-09-30T04:40:31</t>
        </is>
      </c>
    </row>
    <row r="32">
      <c r="A32" s="2" t="inlineStr">
        <is>
          <t>327788</t>
        </is>
      </c>
      <c r="B32" s="2" t="inlineStr">
        <is>
          <t>테마파크</t>
        </is>
      </c>
      <c r="C32" s="2" t="inlineStr">
        <is>
          <t>테마파크</t>
        </is>
      </c>
      <c r="D32" s="2" t="inlineStr">
        <is>
          <t>대구</t>
        </is>
      </c>
      <c r="E32" s="2" t="inlineStr">
        <is>
          <t>영남</t>
        </is>
      </c>
      <c r="F32" s="2" t="inlineStr">
        <is>
          <t>대구</t>
        </is>
      </c>
      <c r="G32" s="2" t="inlineStr">
        <is>
          <t>드림닥터 대구점 의사직업체험</t>
        </is>
      </c>
      <c r="H32" s="2" t="inlineStr">
        <is>
          <t>15만명이 선택한 슬기로운 의사체험!</t>
        </is>
      </c>
      <c r="I32" s="2" t="n">
        <v>8000</v>
      </c>
      <c r="J32" s="2" t="n">
        <v>7200</v>
      </c>
      <c r="K32" s="2" t="n">
        <v>10</v>
      </c>
      <c r="L32" s="2" t="inlineStr">
        <is>
          <t>보호자 이용권 대구 드림닥터(~10/31)</t>
        </is>
      </c>
      <c r="M32" s="2" t="n">
        <v>3</v>
      </c>
      <c r="N32" s="2" t="inlineStr">
        <is>
          <t>구매일</t>
        </is>
      </c>
      <c r="O32" s="2" t="inlineStr">
        <is>
          <t>2026-10-31</t>
        </is>
      </c>
      <c r="P32" s="2" t="inlineStr"/>
      <c r="Q32" s="2" t="inlineStr">
        <is>
          <t>모바일티켓;바로 사용가능</t>
        </is>
      </c>
      <c r="R32" s="2" t="inlineStr">
        <is>
          <t>즉시발송</t>
        </is>
      </c>
      <c r="S32" s="2" t="inlineStr">
        <is>
          <t>엘에스컴퍼니</t>
        </is>
      </c>
      <c r="T32" s="2" t="inlineStr">
        <is>
          <t>알림톡</t>
        </is>
      </c>
      <c r="U32" s="2" t="inlineStr">
        <is>
          <t>매표소 교환 / 바로 입장 | 모바일 이용권 현장 매표소 제시 후 이용 가능(재발송 가능 상품)</t>
        </is>
      </c>
      <c r="V32" s="2" t="n">
        <v>20</v>
      </c>
      <c r="W32" s="2" t="inlineStr">
        <is>
          <t>기한: 수령 후 7일 이내 | 수수료: 발송·취소 장당 1,000원 | 불가: 부분취소, 기간경과 | 접수: 유선(주중)</t>
        </is>
      </c>
      <c r="X32" s="2" t="inlineStr">
        <is>
          <t>드림닥터 대구점</t>
        </is>
      </c>
      <c r="Y32" s="2" t="inlineStr">
        <is>
          <t>대구 중구 공평로 36 동성로SK리더스뷰 3층</t>
        </is>
      </c>
      <c r="Z32" s="2" t="inlineStr">
        <is>
          <t>053-422-7999</t>
        </is>
      </c>
      <c r="AA32" s="2" t="inlineStr"/>
      <c r="AB32" s="2" t="inlineStr">
        <is>
          <t>바로 사용가능</t>
        </is>
      </c>
      <c r="AC32" s="2" t="inlineStr">
        <is>
          <t>Y</t>
        </is>
      </c>
      <c r="AD32" s="2" t="inlineStr"/>
      <c r="AE32" s="2" t="inlineStr">
        <is>
          <t>2026-09-30T04:40:34</t>
        </is>
      </c>
    </row>
    <row r="33">
      <c r="A33" s="2" t="inlineStr">
        <is>
          <t>327725</t>
        </is>
      </c>
      <c r="B33" s="2" t="inlineStr">
        <is>
          <t>테마파크</t>
        </is>
      </c>
      <c r="C33" s="2" t="inlineStr">
        <is>
          <t>테마파크</t>
        </is>
      </c>
      <c r="D33" s="2" t="inlineStr">
        <is>
          <t>대전</t>
        </is>
      </c>
      <c r="E33" s="2" t="inlineStr">
        <is>
          <t>충청</t>
        </is>
      </c>
      <c r="F33" s="2" t="inlineStr">
        <is>
          <t>대전</t>
        </is>
      </c>
      <c r="G33" s="2" t="inlineStr">
        <is>
          <t>드림닥터 대전점 의사직업체험</t>
        </is>
      </c>
      <c r="H33" s="2" t="inlineStr">
        <is>
          <t>15만명이 선택한 슬기로운 의사체험!</t>
        </is>
      </c>
      <c r="I33" s="2" t="n">
        <v>8000</v>
      </c>
      <c r="J33" s="2" t="n">
        <v>6400</v>
      </c>
      <c r="K33" s="2" t="n">
        <v>20</v>
      </c>
      <c r="L33" s="2" t="inlineStr">
        <is>
          <t>보호자권 대전 드림닥터(~10/31)</t>
        </is>
      </c>
      <c r="M33" s="2" t="n">
        <v>4</v>
      </c>
      <c r="N33" s="2" t="inlineStr">
        <is>
          <t>구매일</t>
        </is>
      </c>
      <c r="O33" s="2" t="inlineStr">
        <is>
          <t>2026-10-31</t>
        </is>
      </c>
      <c r="P33" s="2" t="inlineStr"/>
      <c r="Q33" s="2" t="inlineStr">
        <is>
          <t>모바일티켓;바로 사용가능</t>
        </is>
      </c>
      <c r="R33" s="2" t="inlineStr">
        <is>
          <t>즉시발송</t>
        </is>
      </c>
      <c r="S33" s="2" t="inlineStr">
        <is>
          <t>엘에스컴퍼니</t>
        </is>
      </c>
      <c r="T33" s="2" t="inlineStr">
        <is>
          <t>알림톡</t>
        </is>
      </c>
      <c r="U33" s="2" t="inlineStr">
        <is>
          <t>매표소 교환 / 바로 입장 | 모바일 이용권 현장 매표소 제시 후 이용 가능(재발송 가능 상품)</t>
        </is>
      </c>
      <c r="V33" s="2" t="n">
        <v>20</v>
      </c>
      <c r="W33" s="2" t="inlineStr">
        <is>
          <t>기한: 수령 후 7일 이내 | 수수료: 발송·취소 장당 1,000원 | 불가: 부분취소, 기간경과 | 접수: 유선(주중)</t>
        </is>
      </c>
      <c r="X33" s="2" t="inlineStr">
        <is>
          <t>드림닥터 대전점</t>
        </is>
      </c>
      <c r="Y33" s="2" t="inlineStr">
        <is>
          <t>대전 유성구 학하북로 75-21 1층</t>
        </is>
      </c>
      <c r="Z33" s="2" t="inlineStr">
        <is>
          <t>0507-1420-2025</t>
        </is>
      </c>
      <c r="AA33" s="2" t="inlineStr"/>
      <c r="AB33" s="2" t="inlineStr">
        <is>
          <t>바로 사용가능</t>
        </is>
      </c>
      <c r="AC33" s="2" t="inlineStr">
        <is>
          <t>Y</t>
        </is>
      </c>
      <c r="AD33" s="2" t="inlineStr"/>
      <c r="AE33" s="2" t="inlineStr">
        <is>
          <t>2026-09-30T04:40:36</t>
        </is>
      </c>
    </row>
    <row r="34">
      <c r="A34" s="2" t="inlineStr">
        <is>
          <t>311557</t>
        </is>
      </c>
      <c r="B34" s="2" t="inlineStr">
        <is>
          <t>테마파크</t>
        </is>
      </c>
      <c r="C34" s="2" t="inlineStr">
        <is>
          <t>테마파크</t>
        </is>
      </c>
      <c r="D34" s="2" t="inlineStr">
        <is>
          <t>경기</t>
        </is>
      </c>
      <c r="E34" s="2" t="inlineStr">
        <is>
          <t>수도권</t>
        </is>
      </c>
      <c r="F34" s="2" t="inlineStr">
        <is>
          <t>과천</t>
        </is>
      </c>
      <c r="G34" s="2" t="inlineStr">
        <is>
          <t>원더파크</t>
        </is>
      </c>
      <c r="H34" s="2" t="inlineStr">
        <is>
          <t>오감을 만족시키는 체험형 미디어파크</t>
        </is>
      </c>
      <c r="I34" s="2" t="n">
        <v>19000</v>
      </c>
      <c r="J34" s="2" t="n">
        <v>14500</v>
      </c>
      <c r="K34" s="2" t="n">
        <v>24</v>
      </c>
      <c r="L34" s="2" t="inlineStr">
        <is>
          <t>소인이용권 원더파크</t>
        </is>
      </c>
      <c r="M34" s="2" t="n">
        <v>2</v>
      </c>
      <c r="N34" s="2" t="inlineStr">
        <is>
          <t>구매일</t>
        </is>
      </c>
      <c r="O34" s="2" t="inlineStr"/>
      <c r="P34" s="2" t="inlineStr">
        <is>
          <t>60</t>
        </is>
      </c>
      <c r="Q34" s="2" t="inlineStr">
        <is>
          <t>모바일티켓;바로 사용가능</t>
        </is>
      </c>
      <c r="R34" s="2" t="inlineStr">
        <is>
          <t>즉시발송</t>
        </is>
      </c>
      <c r="S34" s="2" t="inlineStr"/>
      <c r="T34" s="2" t="inlineStr">
        <is>
          <t>LMS 문자</t>
        </is>
      </c>
      <c r="U34" s="2" t="inlineStr">
        <is>
          <t>매표소 교환 / 바로 입장 | 모바일 이용권 현장 매표소 제시 및 발권 후 이용 가능(재발송 가능 상품)</t>
        </is>
      </c>
      <c r="V34" s="2" t="n">
        <v>20</v>
      </c>
      <c r="W34" s="2" t="inlineStr">
        <is>
          <t>기한: 수령 후 7일 이내 | 수수료: 발송·취소 장당 1,000원 | 불가: 부분취소, 기간경과 | 접수: 유선</t>
        </is>
      </c>
      <c r="X34" s="2" t="inlineStr">
        <is>
          <t>매직플로우 주식회사</t>
        </is>
      </c>
      <c r="Y34" s="2" t="inlineStr">
        <is>
          <t>서울특별시 강남구 역삼로77길 13, 1층(대치동, 비채빌딩)</t>
        </is>
      </c>
      <c r="Z34" s="2" t="inlineStr">
        <is>
          <t>1555-5443</t>
        </is>
      </c>
      <c r="AA34" s="2" t="inlineStr">
        <is>
          <t>https://www.magicflow.co.kr/park</t>
        </is>
      </c>
      <c r="AB34" s="2" t="inlineStr">
        <is>
          <t>바로 사용가능</t>
        </is>
      </c>
      <c r="AC34" s="2" t="inlineStr">
        <is>
          <t>Y</t>
        </is>
      </c>
      <c r="AD34" s="2" t="inlineStr"/>
      <c r="AE34" s="2" t="inlineStr">
        <is>
          <t>2026-09-30T04:40:38</t>
        </is>
      </c>
    </row>
    <row r="35">
      <c r="A35" s="2" t="inlineStr">
        <is>
          <t>311746</t>
        </is>
      </c>
      <c r="B35" s="2" t="inlineStr">
        <is>
          <t>테마파크</t>
        </is>
      </c>
      <c r="C35" s="2" t="inlineStr">
        <is>
          <t>테마파크</t>
        </is>
      </c>
      <c r="D35" s="2" t="inlineStr">
        <is>
          <t>경북;경기</t>
        </is>
      </c>
      <c r="E35" s="2" t="inlineStr">
        <is>
          <t>영남;수도권</t>
        </is>
      </c>
      <c r="F35" s="2" t="inlineStr">
        <is>
          <t>경주/오산</t>
        </is>
      </c>
      <c r="G35" s="2" t="inlineStr">
        <is>
          <t>버드파크</t>
        </is>
      </c>
      <c r="H35" s="2" t="inlineStr">
        <is>
          <t>새와 사람과 자연의 이야기</t>
        </is>
      </c>
      <c r="I35" s="2" t="n">
        <v>23000</v>
      </c>
      <c r="J35" s="2" t="n">
        <v>17800</v>
      </c>
      <c r="K35" s="2" t="n">
        <v>23</v>
      </c>
      <c r="L35" s="2" t="inlineStr">
        <is>
          <t>대인이용권 오산버드파크</t>
        </is>
      </c>
      <c r="M35" s="2" t="n">
        <v>4</v>
      </c>
      <c r="N35" s="2" t="inlineStr">
        <is>
          <t>구매일</t>
        </is>
      </c>
      <c r="O35" s="2" t="inlineStr"/>
      <c r="P35" s="2" t="inlineStr">
        <is>
          <t>60</t>
        </is>
      </c>
      <c r="Q35" s="2" t="inlineStr">
        <is>
          <t>모바일티켓;바로 사용가능</t>
        </is>
      </c>
      <c r="R35" s="2" t="inlineStr">
        <is>
          <t>즉시발송</t>
        </is>
      </c>
      <c r="S35" s="2" t="inlineStr"/>
      <c r="T35" s="2" t="inlineStr">
        <is>
          <t>LMS 문자</t>
        </is>
      </c>
      <c r="U35" s="2" t="inlineStr">
        <is>
          <t>매표소 교환 / 바로 입장 | 모바일 이용권 현장 매표소 제시 후 이용 가능(재발송 가능 상품)</t>
        </is>
      </c>
      <c r="V35" s="2" t="n">
        <v>100</v>
      </c>
      <c r="W35" s="2" t="inlineStr">
        <is>
          <t>기한: 수령 후 7일 이내 | 수수료: 발송·취소 장당 1,000원 | 불가: 부분취소, 기간경과 | 접수: 유선</t>
        </is>
      </c>
      <c r="X35" s="2" t="inlineStr">
        <is>
          <t>경주버드파크</t>
        </is>
      </c>
      <c r="Y35" s="2" t="inlineStr">
        <is>
          <t>경북 경주시 보문로 74-14</t>
        </is>
      </c>
      <c r="Z35" s="2" t="inlineStr">
        <is>
          <t>054-777-7200</t>
        </is>
      </c>
      <c r="AA35" s="2" t="inlineStr">
        <is>
          <t>http://www.birdparks.co.kr/ ; https://www.instagram.com/osanbirdpark/</t>
        </is>
      </c>
      <c r="AB35" s="2" t="inlineStr">
        <is>
          <t>바로 사용가능</t>
        </is>
      </c>
      <c r="AC35" s="2" t="inlineStr">
        <is>
          <t>Y</t>
        </is>
      </c>
      <c r="AD35" s="2" t="inlineStr"/>
      <c r="AE35" s="2" t="inlineStr">
        <is>
          <t>2026-09-30T04:40:41</t>
        </is>
      </c>
    </row>
    <row r="36">
      <c r="A36" s="2" t="inlineStr">
        <is>
          <t>319024</t>
        </is>
      </c>
      <c r="B36" s="2" t="inlineStr">
        <is>
          <t>테마파크</t>
        </is>
      </c>
      <c r="C36" s="2" t="inlineStr">
        <is>
          <t>테마파크</t>
        </is>
      </c>
      <c r="D36" s="2" t="inlineStr">
        <is>
          <t>경기</t>
        </is>
      </c>
      <c r="E36" s="2" t="inlineStr">
        <is>
          <t>수도권</t>
        </is>
      </c>
      <c r="F36" s="2" t="inlineStr">
        <is>
          <t>여주</t>
        </is>
      </c>
      <c r="G36" s="2" t="inlineStr">
        <is>
          <t>루덴시아</t>
        </is>
      </c>
      <c r="H36" s="2" t="inlineStr">
        <is>
          <t>갤러리형 유럽 테마파크</t>
        </is>
      </c>
      <c r="I36" s="2" t="n">
        <v>27000</v>
      </c>
      <c r="J36" s="2" t="n">
        <v>14500</v>
      </c>
      <c r="K36" s="2" t="n">
        <v>46</v>
      </c>
      <c r="L36" s="2" t="inlineStr">
        <is>
          <t>주중 대인입장권 루덴시아(~9/30)</t>
        </is>
      </c>
      <c r="M36" s="2" t="n">
        <v>4</v>
      </c>
      <c r="N36" s="2" t="inlineStr">
        <is>
          <t>2025-11-01</t>
        </is>
      </c>
      <c r="O36" s="2" t="inlineStr">
        <is>
          <t>2026-09-30</t>
        </is>
      </c>
      <c r="P36" s="2" t="inlineStr"/>
      <c r="Q36" s="2" t="inlineStr">
        <is>
          <t>모바일티켓;바로 사용가능</t>
        </is>
      </c>
      <c r="R36" s="2" t="inlineStr">
        <is>
          <t>즉시발송</t>
        </is>
      </c>
      <c r="S36" s="2" t="inlineStr"/>
      <c r="T36" s="2" t="inlineStr">
        <is>
          <t>LMS 문자</t>
        </is>
      </c>
      <c r="U36" s="2" t="inlineStr">
        <is>
          <t>매표소 교환 / 바로 입장 | 모바일 이용권 현장 매표소 제시 후 이용 가능(재발송 가능 상품)</t>
        </is>
      </c>
      <c r="V36" s="2" t="n">
        <v>20</v>
      </c>
      <c r="W36" s="2" t="inlineStr">
        <is>
          <t>기한: 수령 후 7일 이내 | 수수료: 발송·취소 장당 1,000원 | 불가: 부분취소, 기간경과 | 접수: 유선</t>
        </is>
      </c>
      <c r="X36" s="2" t="inlineStr">
        <is>
          <t>루덴시아</t>
        </is>
      </c>
      <c r="Y36" s="2" t="inlineStr">
        <is>
          <t>경기 여주시 산북면 금품1로 177 여주 루덴시아</t>
        </is>
      </c>
      <c r="Z36" s="2" t="inlineStr">
        <is>
          <t>0507-1359-1025</t>
        </is>
      </c>
      <c r="AA36" s="2" t="inlineStr">
        <is>
          <t>https://www.ludensia.com/</t>
        </is>
      </c>
      <c r="AB36" s="2" t="inlineStr">
        <is>
          <t>바로 사용가능</t>
        </is>
      </c>
      <c r="AC36" s="2" t="inlineStr">
        <is>
          <t>Y</t>
        </is>
      </c>
      <c r="AD36" s="2" t="inlineStr"/>
      <c r="AE36" s="2" t="inlineStr">
        <is>
          <t>2026-09-30T04:40:44</t>
        </is>
      </c>
    </row>
    <row r="37">
      <c r="A37" s="2" t="inlineStr">
        <is>
          <t>327284</t>
        </is>
      </c>
      <c r="B37" s="2" t="inlineStr">
        <is>
          <t>테마파크</t>
        </is>
      </c>
      <c r="C37" s="2" t="inlineStr">
        <is>
          <t>테마파크</t>
        </is>
      </c>
      <c r="D37" s="2" t="inlineStr">
        <is>
          <t>경남</t>
        </is>
      </c>
      <c r="E37" s="2" t="inlineStr">
        <is>
          <t>영남</t>
        </is>
      </c>
      <c r="F37" s="2" t="inlineStr">
        <is>
          <t>진주</t>
        </is>
      </c>
      <c r="G37" s="2" t="inlineStr">
        <is>
          <t>타이거펀치 키즈랜드</t>
        </is>
      </c>
      <c r="H37" s="2" t="inlineStr">
        <is>
          <t>진주에 오픈하는 1200평 규모의 대형 키즈랜드</t>
        </is>
      </c>
      <c r="I37" s="2" t="n">
        <v>7000</v>
      </c>
      <c r="J37" s="2" t="n">
        <v>5000</v>
      </c>
      <c r="K37" s="2" t="n">
        <v>29</v>
      </c>
      <c r="L37" s="2" t="inlineStr">
        <is>
          <t>주중 3시간 대인 입장권 타이거펀치(~10/31)</t>
        </is>
      </c>
      <c r="M37" s="2" t="n">
        <v>4</v>
      </c>
      <c r="N37" s="2" t="inlineStr">
        <is>
          <t>2026-05-08</t>
        </is>
      </c>
      <c r="O37" s="2" t="inlineStr">
        <is>
          <t>2026-10-31</t>
        </is>
      </c>
      <c r="P37" s="2" t="inlineStr"/>
      <c r="Q37" s="2" t="inlineStr">
        <is>
          <t>모바일티켓;바로 사용가능</t>
        </is>
      </c>
      <c r="R37" s="2" t="inlineStr">
        <is>
          <t>즉시발송</t>
        </is>
      </c>
      <c r="S37" s="2" t="inlineStr">
        <is>
          <t>엘에스컴퍼니</t>
        </is>
      </c>
      <c r="T37" s="2" t="inlineStr">
        <is>
          <t>알림톡</t>
        </is>
      </c>
      <c r="U37" s="2" t="inlineStr">
        <is>
          <t>매표소 교환 / 바로 입장 | 모바일 이용권 현장 매표소 제시 후 이용 가능(재발송 가능 상품)</t>
        </is>
      </c>
      <c r="V37" s="2" t="n">
        <v>20</v>
      </c>
      <c r="W37" s="2" t="inlineStr">
        <is>
          <t>기한: 수령 후 7일 이내 | 수수료: 발송·취소 장당 1,000원 | 불가: 부분취소, 기간경과 | 접수: 유선(주중)</t>
        </is>
      </c>
      <c r="X37" s="2" t="inlineStr">
        <is>
          <t>타이거펀치 키즈랜드</t>
        </is>
      </c>
      <c r="Y37" s="2" t="inlineStr">
        <is>
          <t>경남 진주시 명석면 진주대로 1982</t>
        </is>
      </c>
      <c r="Z37" s="2" t="inlineStr">
        <is>
          <t>055-763-3133</t>
        </is>
      </c>
      <c r="AA37" s="2" t="inlineStr"/>
      <c r="AB37" s="2" t="inlineStr">
        <is>
          <t>바로 사용가능</t>
        </is>
      </c>
      <c r="AC37" s="2" t="inlineStr">
        <is>
          <t>Y</t>
        </is>
      </c>
      <c r="AD37" s="2" t="inlineStr"/>
      <c r="AE37" s="2" t="inlineStr">
        <is>
          <t>2026-09-30T04:40:46</t>
        </is>
      </c>
    </row>
    <row r="38">
      <c r="A38" s="2" t="inlineStr">
        <is>
          <t>328862</t>
        </is>
      </c>
      <c r="B38" s="2" t="inlineStr">
        <is>
          <t>테마파크</t>
        </is>
      </c>
      <c r="C38" s="2" t="inlineStr">
        <is>
          <t>테마파크</t>
        </is>
      </c>
      <c r="D38" s="2" t="inlineStr">
        <is>
          <t>울산</t>
        </is>
      </c>
      <c r="E38" s="2" t="inlineStr">
        <is>
          <t>영남</t>
        </is>
      </c>
      <c r="F38" s="2" t="inlineStr">
        <is>
          <t>울산</t>
        </is>
      </c>
      <c r="G38" s="2" t="inlineStr">
        <is>
          <t>캐니언파크</t>
        </is>
      </c>
      <c r="H38" s="2" t="inlineStr">
        <is>
          <t>최대 규모의 애니멀 복합 테마파크 캐니언파크 울산점 오픈!</t>
        </is>
      </c>
      <c r="I38" s="2" t="n">
        <v>20000</v>
      </c>
      <c r="J38" s="2" t="n">
        <v>10000</v>
      </c>
      <c r="K38" s="2" t="n">
        <v>50</v>
      </c>
      <c r="L38" s="2" t="inlineStr">
        <is>
          <t>평일/주말 유아입장권+실내놀이동산PKG 캐니언파크(~12/31)</t>
        </is>
      </c>
      <c r="M38" s="2" t="n">
        <v>5</v>
      </c>
      <c r="N38" s="2" t="inlineStr">
        <is>
          <t>구매일</t>
        </is>
      </c>
      <c r="O38" s="2" t="inlineStr">
        <is>
          <t>2026-12-31</t>
        </is>
      </c>
      <c r="P38" s="2" t="inlineStr"/>
      <c r="Q38" s="2" t="inlineStr">
        <is>
          <t>모바일티켓;바로 사용가능</t>
        </is>
      </c>
      <c r="R38" s="2" t="inlineStr">
        <is>
          <t>즉시발송</t>
        </is>
      </c>
      <c r="S38" s="2" t="inlineStr">
        <is>
          <t>엘에스컴퍼니</t>
        </is>
      </c>
      <c r="T38" s="2" t="inlineStr">
        <is>
          <t>알림톡</t>
        </is>
      </c>
      <c r="U38" s="2" t="inlineStr">
        <is>
          <t>매표소 교환 / 바로 입장 | 모바일 이용권 현장 매표소 제시 후 이용 가능(재발송 가능 상품)</t>
        </is>
      </c>
      <c r="V38" s="2" t="n">
        <v>20</v>
      </c>
      <c r="W38" s="2" t="inlineStr">
        <is>
          <t>기한: 수령 후 7일 이내 | 수수료: 발송·취소 장당 1,000원 | 불가: 부분취소, 기간경과 | 접수: 유선(주중)</t>
        </is>
      </c>
      <c r="X38" s="2" t="inlineStr">
        <is>
          <t>캐니언파크</t>
        </is>
      </c>
      <c r="Y38" s="2" t="inlineStr">
        <is>
          <t>울산 중구 만남의거리 15 3층, 4층</t>
        </is>
      </c>
      <c r="Z38" s="2" t="inlineStr">
        <is>
          <t>052-939-2100</t>
        </is>
      </c>
      <c r="AA38" s="2" t="inlineStr"/>
      <c r="AB38" s="2" t="inlineStr">
        <is>
          <t>바로 사용가능</t>
        </is>
      </c>
      <c r="AC38" s="2" t="inlineStr">
        <is>
          <t>Y</t>
        </is>
      </c>
      <c r="AD38" s="2" t="inlineStr"/>
      <c r="AE38" s="2" t="inlineStr">
        <is>
          <t>2026-09-30T04:40:49</t>
        </is>
      </c>
    </row>
    <row r="39">
      <c r="A39" s="2" t="inlineStr">
        <is>
          <t>325394</t>
        </is>
      </c>
      <c r="B39" s="2" t="inlineStr">
        <is>
          <t>테마파크</t>
        </is>
      </c>
      <c r="C39" s="2" t="inlineStr">
        <is>
          <t>테마파크</t>
        </is>
      </c>
      <c r="D39" s="2" t="inlineStr">
        <is>
          <t>경북</t>
        </is>
      </c>
      <c r="E39" s="2" t="inlineStr">
        <is>
          <t>영남</t>
        </is>
      </c>
      <c r="F39" s="2" t="inlineStr">
        <is>
          <t>경주</t>
        </is>
      </c>
      <c r="G39" s="2" t="inlineStr">
        <is>
          <t>원더스페이스 보문점</t>
        </is>
      </c>
      <c r="H39" s="2" t="inlineStr">
        <is>
          <t>원더스페이스에서 즐기는 복합 놀이 시설 테마파크!</t>
        </is>
      </c>
      <c r="I39" s="2" t="n">
        <v>50000</v>
      </c>
      <c r="J39" s="2" t="n">
        <v>23000</v>
      </c>
      <c r="K39" s="2" t="n">
        <v>54</v>
      </c>
      <c r="L39" s="2" t="inlineStr">
        <is>
          <t>통합이용권A 원더스페이스(~10/31)</t>
        </is>
      </c>
      <c r="M39" s="2" t="n">
        <v>1</v>
      </c>
      <c r="N39" s="2" t="inlineStr">
        <is>
          <t>구매일</t>
        </is>
      </c>
      <c r="O39" s="2" t="inlineStr">
        <is>
          <t>2026-10-31</t>
        </is>
      </c>
      <c r="P39" s="2" t="inlineStr"/>
      <c r="Q39" s="2" t="inlineStr">
        <is>
          <t>모바일티켓;바로 사용가능</t>
        </is>
      </c>
      <c r="R39" s="2" t="inlineStr">
        <is>
          <t>즉시발송</t>
        </is>
      </c>
      <c r="S39" s="2" t="inlineStr">
        <is>
          <t>엘에스컴퍼니</t>
        </is>
      </c>
      <c r="T39" s="2" t="inlineStr">
        <is>
          <t>알림톡</t>
        </is>
      </c>
      <c r="U39" s="2" t="inlineStr">
        <is>
          <t>매표소 교환 / 바로 입장 | 모바일 이용권 현장 매표소 제시 후 이용 가능(재발송 가능 상품)</t>
        </is>
      </c>
      <c r="V39" s="2" t="n">
        <v>20</v>
      </c>
      <c r="W39" s="2" t="inlineStr">
        <is>
          <t>기한: 수령 후 7일 이내 | 수수료: 발송·취소 장당 1,000원 | 불가: 부분취소, 기간경과 | 접수: 유선(주중)</t>
        </is>
      </c>
      <c r="X39" s="2" t="inlineStr">
        <is>
          <t>원더스페이스 보문점</t>
        </is>
      </c>
      <c r="Y39" s="2" t="inlineStr">
        <is>
          <t>경북 경주시 보문로 391 원더스페이스 보문점</t>
        </is>
      </c>
      <c r="Z39" s="2" t="inlineStr">
        <is>
          <t>054-749-8999</t>
        </is>
      </c>
      <c r="AA39" s="2" t="inlineStr"/>
      <c r="AB39" s="2" t="inlineStr">
        <is>
          <t>바로 사용가능</t>
        </is>
      </c>
      <c r="AC39" s="2" t="inlineStr">
        <is>
          <t>Y</t>
        </is>
      </c>
      <c r="AD39" s="2" t="inlineStr"/>
      <c r="AE39" s="2" t="inlineStr">
        <is>
          <t>2026-09-30T04:40:51</t>
        </is>
      </c>
    </row>
    <row r="40">
      <c r="A40" s="2" t="inlineStr">
        <is>
          <t>326906</t>
        </is>
      </c>
      <c r="B40" s="2" t="inlineStr">
        <is>
          <t>테마파크</t>
        </is>
      </c>
      <c r="C40" s="2" t="inlineStr">
        <is>
          <t>테마파크</t>
        </is>
      </c>
      <c r="D40" s="2" t="inlineStr">
        <is>
          <t>경북</t>
        </is>
      </c>
      <c r="E40" s="2" t="inlineStr">
        <is>
          <t>영남</t>
        </is>
      </c>
      <c r="F40" s="2" t="inlineStr">
        <is>
          <t>청도</t>
        </is>
      </c>
      <c r="G40" s="2" t="inlineStr">
        <is>
          <t>프로방스</t>
        </is>
      </c>
      <c r="H40" s="2" t="inlineStr">
        <is>
          <t>여름숲속 빛축제!</t>
        </is>
      </c>
      <c r="I40" s="2" t="n">
        <v>14900</v>
      </c>
      <c r="J40" s="2" t="n">
        <v>8900</v>
      </c>
      <c r="K40" s="2" t="n">
        <v>40</v>
      </c>
      <c r="L40" s="2" t="inlineStr">
        <is>
          <t>입장권 프로방스(~9/30)</t>
        </is>
      </c>
      <c r="M40" s="2" t="n">
        <v>1</v>
      </c>
      <c r="N40" s="2" t="inlineStr">
        <is>
          <t>구매일</t>
        </is>
      </c>
      <c r="O40" s="2" t="inlineStr">
        <is>
          <t>2026-09-30</t>
        </is>
      </c>
      <c r="P40" s="2" t="inlineStr"/>
      <c r="Q40" s="2" t="inlineStr">
        <is>
          <t>모바일티켓;바로 사용가능</t>
        </is>
      </c>
      <c r="R40" s="2" t="inlineStr">
        <is>
          <t>즉시발송</t>
        </is>
      </c>
      <c r="S40" s="2" t="inlineStr">
        <is>
          <t>엘에스컴퍼니</t>
        </is>
      </c>
      <c r="T40" s="2" t="inlineStr">
        <is>
          <t>알림톡</t>
        </is>
      </c>
      <c r="U40" s="2" t="inlineStr">
        <is>
          <t>매표소 교환 / 바로 입장 | 모바일 이용권 현장 매표소 제시 후 이용 가능(재발송 가능 상품)</t>
        </is>
      </c>
      <c r="V40" s="2" t="n">
        <v>20</v>
      </c>
      <c r="W40" s="2" t="inlineStr">
        <is>
          <t>기한: 수령 후 7일 이내 | 수수료: 발송·취소 장당 1,000원 | 불가: 부분취소, 기간경과 | 접수: 유선(주중)</t>
        </is>
      </c>
      <c r="X40" s="2" t="inlineStr">
        <is>
          <t>청도 프로방스</t>
        </is>
      </c>
      <c r="Y40" s="2" t="inlineStr">
        <is>
          <t>경북 청도군 화양읍 이슬미로 272-23</t>
        </is>
      </c>
      <c r="Z40" s="2" t="inlineStr">
        <is>
          <t>054-372-5050</t>
        </is>
      </c>
      <c r="AA40" s="2" t="inlineStr"/>
      <c r="AB40" s="2" t="inlineStr">
        <is>
          <t>바로 사용가능</t>
        </is>
      </c>
      <c r="AC40" s="2" t="inlineStr">
        <is>
          <t>Y</t>
        </is>
      </c>
      <c r="AD40" s="2" t="inlineStr"/>
      <c r="AE40" s="2" t="inlineStr">
        <is>
          <t>2026-09-30T04:40:54</t>
        </is>
      </c>
    </row>
    <row r="41">
      <c r="A41" s="2" t="inlineStr">
        <is>
          <t>322370</t>
        </is>
      </c>
      <c r="B41" s="2" t="inlineStr">
        <is>
          <t>테마파크</t>
        </is>
      </c>
      <c r="C41" s="2" t="inlineStr">
        <is>
          <t>테마파크</t>
        </is>
      </c>
      <c r="D41" s="2" t="inlineStr">
        <is>
          <t>대구</t>
        </is>
      </c>
      <c r="E41" s="2" t="inlineStr">
        <is>
          <t>영남</t>
        </is>
      </c>
      <c r="F41" s="2" t="inlineStr">
        <is>
          <t>대구</t>
        </is>
      </c>
      <c r="G41" s="2" t="inlineStr">
        <is>
          <t>네이처파크</t>
        </is>
      </c>
      <c r="H41" s="2" t="inlineStr">
        <is>
          <t>12만 평 부지의 식물원 내 초대형 글라스하우스 동물원!</t>
        </is>
      </c>
      <c r="I41" s="2" t="n">
        <v>20000</v>
      </c>
      <c r="J41" s="2" t="n">
        <v>10000</v>
      </c>
      <c r="K41" s="2" t="n">
        <v>50</v>
      </c>
      <c r="L41" s="2" t="inlineStr">
        <is>
          <t>1인 종일권 네이처파크(~9/30)</t>
        </is>
      </c>
      <c r="M41" s="2" t="n">
        <v>2</v>
      </c>
      <c r="N41" s="2" t="inlineStr">
        <is>
          <t>구매일</t>
        </is>
      </c>
      <c r="O41" s="2" t="inlineStr">
        <is>
          <t>2026-09-30</t>
        </is>
      </c>
      <c r="P41" s="2" t="inlineStr"/>
      <c r="Q41" s="2" t="inlineStr">
        <is>
          <t>모바일티켓;바로 사용가능</t>
        </is>
      </c>
      <c r="R41" s="2" t="inlineStr">
        <is>
          <t>즉시발송</t>
        </is>
      </c>
      <c r="S41" s="2" t="inlineStr">
        <is>
          <t>엘에스컴퍼니</t>
        </is>
      </c>
      <c r="T41" s="2" t="inlineStr">
        <is>
          <t>알림톡</t>
        </is>
      </c>
      <c r="U41" s="2" t="inlineStr">
        <is>
          <t>매표소 교환 / 바로 입장 | 모바일 이용권 현장 매표소 제시 후 이용 가능(재발송 가능 상품)</t>
        </is>
      </c>
      <c r="V41" s="2" t="n">
        <v>20</v>
      </c>
      <c r="W41" s="2" t="inlineStr">
        <is>
          <t>기한: 수령 후 7일 이내 | 수수료: 발송·취소 장당 1,000원 | 불가: 부분취소, 기간경과 | 접수: 유선(주중)</t>
        </is>
      </c>
      <c r="X41" s="2" t="inlineStr">
        <is>
          <t>네이처파크</t>
        </is>
      </c>
      <c r="Y41" s="2" t="inlineStr">
        <is>
          <t>대구 달성군 가창면 가창로 891</t>
        </is>
      </c>
      <c r="Z41" s="2" t="inlineStr">
        <is>
          <t>1688-8511</t>
        </is>
      </c>
      <c r="AA41" s="2" t="inlineStr"/>
      <c r="AB41" s="2" t="inlineStr">
        <is>
          <t>바로 사용가능</t>
        </is>
      </c>
      <c r="AC41" s="2" t="inlineStr">
        <is>
          <t>Y</t>
        </is>
      </c>
      <c r="AD41" s="2" t="inlineStr"/>
      <c r="AE41" s="2" t="inlineStr">
        <is>
          <t>2026-09-30T04:40:57</t>
        </is>
      </c>
    </row>
    <row r="42">
      <c r="A42" s="2" t="inlineStr">
        <is>
          <t>325898</t>
        </is>
      </c>
      <c r="B42" s="2" t="inlineStr">
        <is>
          <t>테마파크</t>
        </is>
      </c>
      <c r="C42" s="2" t="inlineStr">
        <is>
          <t>테마파크</t>
        </is>
      </c>
      <c r="D42" s="2" t="inlineStr">
        <is>
          <t>경북</t>
        </is>
      </c>
      <c r="E42" s="2" t="inlineStr">
        <is>
          <t>영남</t>
        </is>
      </c>
      <c r="F42" s="2" t="inlineStr">
        <is>
          <t>경주</t>
        </is>
      </c>
      <c r="G42" s="2" t="inlineStr">
        <is>
          <t>엑스포대공원</t>
        </is>
      </c>
      <c r="H42" s="2" t="inlineStr">
        <is>
          <t>365일 힐링파크!</t>
        </is>
      </c>
      <c r="I42" s="2" t="n">
        <v>14900</v>
      </c>
      <c r="J42" s="2" t="n">
        <v>8100</v>
      </c>
      <c r="K42" s="2" t="n">
        <v>46</v>
      </c>
      <c r="L42" s="2" t="inlineStr">
        <is>
          <t>소인 이용권 엑스포 대공원(~10/31)</t>
        </is>
      </c>
      <c r="M42" s="2" t="n">
        <v>2</v>
      </c>
      <c r="N42" s="2" t="inlineStr">
        <is>
          <t>구매일</t>
        </is>
      </c>
      <c r="O42" s="2" t="inlineStr">
        <is>
          <t>2026-10-31</t>
        </is>
      </c>
      <c r="P42" s="2" t="inlineStr"/>
      <c r="Q42" s="2" t="inlineStr">
        <is>
          <t>모바일티켓;바로 사용가능</t>
        </is>
      </c>
      <c r="R42" s="2" t="inlineStr">
        <is>
          <t>즉시발송</t>
        </is>
      </c>
      <c r="S42" s="2" t="inlineStr">
        <is>
          <t>엘에스컴퍼니</t>
        </is>
      </c>
      <c r="T42" s="2" t="inlineStr">
        <is>
          <t>알림톡</t>
        </is>
      </c>
      <c r="U42" s="2" t="inlineStr">
        <is>
          <t>매표소 교환 / 바로 입장 | 모바일 이용권 현장 매표소 제시 후 이용 가능(재발송 가능 상품)</t>
        </is>
      </c>
      <c r="V42" s="2" t="n">
        <v>20</v>
      </c>
      <c r="W42" s="2" t="inlineStr">
        <is>
          <t>기한: 수령 후 7일 이내 | 수수료: 발송·취소 장당 1,000원 | 불가: 부분취소, 기간경과 | 접수: 유선(주중)</t>
        </is>
      </c>
      <c r="X42" s="2" t="inlineStr">
        <is>
          <t>[경주] 엑스포대공원</t>
        </is>
      </c>
      <c r="Y42" s="2" t="inlineStr">
        <is>
          <t>경북 경주시 경감로 614</t>
        </is>
      </c>
      <c r="Z42" s="2" t="inlineStr">
        <is>
          <t>054-748-3011</t>
        </is>
      </c>
      <c r="AA42" s="2" t="inlineStr"/>
      <c r="AB42" s="2" t="inlineStr">
        <is>
          <t>바로 사용가능</t>
        </is>
      </c>
      <c r="AC42" s="2" t="inlineStr">
        <is>
          <t>Y</t>
        </is>
      </c>
      <c r="AD42" s="2" t="inlineStr"/>
      <c r="AE42" s="2" t="inlineStr">
        <is>
          <t>2026-09-30T04:41:00</t>
        </is>
      </c>
    </row>
    <row r="43">
      <c r="A43" s="2" t="inlineStr">
        <is>
          <t>325142</t>
        </is>
      </c>
      <c r="B43" s="2" t="inlineStr">
        <is>
          <t>워터파크</t>
        </is>
      </c>
      <c r="C43" s="2" t="inlineStr">
        <is>
          <t>워터파크</t>
        </is>
      </c>
      <c r="D43" s="2" t="inlineStr">
        <is>
          <t>경기</t>
        </is>
      </c>
      <c r="E43" s="2" t="inlineStr">
        <is>
          <t>수도권</t>
        </is>
      </c>
      <c r="F43" s="2" t="inlineStr">
        <is>
          <t>하남/고양/안성</t>
        </is>
      </c>
      <c r="G43" s="2" t="inlineStr">
        <is>
          <t>아쿠아필드</t>
        </is>
      </c>
      <c r="H43" s="2" t="inlineStr">
        <is>
          <t>생각을 비우다. 여유를 채우다!</t>
        </is>
      </c>
      <c r="I43" s="2" t="n">
        <v>58000</v>
      </c>
      <c r="J43" s="2" t="n">
        <v>32500</v>
      </c>
      <c r="K43" s="2" t="n">
        <v>44</v>
      </c>
      <c r="L43" s="2" t="inlineStr">
        <is>
          <t>워터파크 6시간 이용권 아쿠아필드(3개 지점 중 택1)(8/18~10/26)</t>
        </is>
      </c>
      <c r="M43" s="2" t="n">
        <v>3</v>
      </c>
      <c r="N43" s="2" t="inlineStr">
        <is>
          <t>2026-08-18</t>
        </is>
      </c>
      <c r="O43" s="2" t="inlineStr">
        <is>
          <t>2026-10-26</t>
        </is>
      </c>
      <c r="P43" s="2" t="inlineStr"/>
      <c r="Q43" s="2" t="inlineStr">
        <is>
          <t>모바일티켓;수령 후 사용 가능</t>
        </is>
      </c>
      <c r="R43" s="2" t="inlineStr">
        <is>
          <t>수령후사용</t>
        </is>
      </c>
      <c r="S43" s="2" t="inlineStr"/>
      <c r="T43" s="2" t="inlineStr">
        <is>
          <t>LMS 문자/순차 발송</t>
        </is>
      </c>
      <c r="U43" s="2" t="inlineStr">
        <is>
          <t>QR/바코드 제시 / 매표소 교환 / 바로 입장 | LMS 바코드 문자 이용권 현장 매표소 제시 후 이용 가능(재발송 가능 상품)</t>
        </is>
      </c>
      <c r="V43" s="2" t="n">
        <v>20</v>
      </c>
      <c r="W43" s="2" t="inlineStr">
        <is>
          <t>기한: 수령 후 7일 이내 | 수수료: 발송·취소 장당 1,000원 | 불가: 부분취소, 기간경과 | 접수: 유선</t>
        </is>
      </c>
      <c r="X43" s="2" t="inlineStr">
        <is>
          <t>아쿠아필드 하남/고양/안성</t>
        </is>
      </c>
      <c r="Y43" s="2" t="inlineStr">
        <is>
          <t>경기 하남시 미사대로 750 스타필드 하남 3층</t>
        </is>
      </c>
      <c r="Z43" s="2" t="inlineStr">
        <is>
          <t>031-8072-8800</t>
        </is>
      </c>
      <c r="AA43" s="2" t="inlineStr"/>
      <c r="AB43" s="2" t="inlineStr">
        <is>
          <t>수령 후 사용 가능</t>
        </is>
      </c>
      <c r="AC43" s="2" t="inlineStr">
        <is>
          <t>Y</t>
        </is>
      </c>
      <c r="AD43" s="2" t="inlineStr"/>
      <c r="AE43" s="2" t="inlineStr">
        <is>
          <t>2026-09-30T04:41:03</t>
        </is>
      </c>
    </row>
    <row r="44">
      <c r="A44" s="2" t="inlineStr">
        <is>
          <t>328355</t>
        </is>
      </c>
      <c r="B44" s="2" t="inlineStr">
        <is>
          <t>워터파크</t>
        </is>
      </c>
      <c r="C44" s="2" t="inlineStr">
        <is>
          <t>워터파크</t>
        </is>
      </c>
      <c r="D44" s="2" t="inlineStr">
        <is>
          <t>경기</t>
        </is>
      </c>
      <c r="E44" s="2" t="inlineStr">
        <is>
          <t>수도권</t>
        </is>
      </c>
      <c r="F44" s="2" t="inlineStr">
        <is>
          <t>여주</t>
        </is>
      </c>
      <c r="G44" s="2" t="inlineStr">
        <is>
          <t>썬밸리 워터파크</t>
        </is>
      </c>
      <c r="H44" s="2" t="inlineStr">
        <is>
          <t>전 세대가 즐길 수 있는 헬레니즘 워터파크</t>
        </is>
      </c>
      <c r="I44" s="2" t="n">
        <v>38000</v>
      </c>
      <c r="J44" s="2" t="n">
        <v>20700</v>
      </c>
      <c r="K44" s="2" t="n">
        <v>46</v>
      </c>
      <c r="L44" s="2" t="inlineStr">
        <is>
          <t>비수기 대인종일권 썬밸리(8/24~9/30)</t>
        </is>
      </c>
      <c r="M44" s="2" t="n">
        <v>3</v>
      </c>
      <c r="N44" s="2" t="inlineStr">
        <is>
          <t>2026-08-24</t>
        </is>
      </c>
      <c r="O44" s="2" t="inlineStr">
        <is>
          <t>2026-11-29</t>
        </is>
      </c>
      <c r="P44" s="2" t="inlineStr"/>
      <c r="Q44" s="2" t="inlineStr">
        <is>
          <t>모바일티켓;바로 사용가능</t>
        </is>
      </c>
      <c r="R44" s="2" t="inlineStr">
        <is>
          <t>즉시발송</t>
        </is>
      </c>
      <c r="S44" s="2" t="inlineStr"/>
      <c r="T44" s="2" t="inlineStr">
        <is>
          <t>LMS 문자</t>
        </is>
      </c>
      <c r="U44" s="2" t="inlineStr">
        <is>
          <t>매표소 교환 / 바로 입장 | 모바일 이용권 현장 매표소 제시 후 이용 가능(재발송 가능 상품)</t>
        </is>
      </c>
      <c r="V44" s="2" t="n">
        <v>30</v>
      </c>
      <c r="W44" s="2" t="inlineStr">
        <is>
          <t>기한: 수령 후 7일 이내 | 수수료: 발송·취소 장당 1,000원 | 불가: 부분취소, 기간경과 | 접수: 유선</t>
        </is>
      </c>
      <c r="X44" s="2" t="inlineStr">
        <is>
          <t>썬밸리 워터파크</t>
        </is>
      </c>
      <c r="Y44" s="2" t="inlineStr">
        <is>
          <t>경기도 여주시 강변유원지길 45(연양동)</t>
        </is>
      </c>
      <c r="Z44" s="2" t="inlineStr">
        <is>
          <t>031-880-3871, 3876~8</t>
        </is>
      </c>
      <c r="AA44" s="2" t="inlineStr">
        <is>
          <t>https://www.sunvalley.co.kr/hotel/waterpark/intro</t>
        </is>
      </c>
      <c r="AB44" s="2" t="inlineStr">
        <is>
          <t>바로 사용가능</t>
        </is>
      </c>
      <c r="AC44" s="2" t="inlineStr">
        <is>
          <t>Y</t>
        </is>
      </c>
      <c r="AD44" s="2" t="inlineStr"/>
      <c r="AE44" s="2" t="inlineStr">
        <is>
          <t>2026-09-30T04:41:05</t>
        </is>
      </c>
    </row>
    <row r="45">
      <c r="A45" s="2" t="inlineStr">
        <is>
          <t>329497</t>
        </is>
      </c>
      <c r="B45" s="2" t="inlineStr">
        <is>
          <t>워터파크</t>
        </is>
      </c>
      <c r="C45" s="2" t="inlineStr">
        <is>
          <t>워터파크</t>
        </is>
      </c>
      <c r="D45" s="2" t="inlineStr">
        <is>
          <t>부산</t>
        </is>
      </c>
      <c r="E45" s="2" t="inlineStr">
        <is>
          <t>영남</t>
        </is>
      </c>
      <c r="F45" s="2" t="inlineStr">
        <is>
          <t>부산</t>
        </is>
      </c>
      <c r="G45" s="2" t="inlineStr">
        <is>
          <t>클럽디오아시스 스파&amp;워터파크</t>
        </is>
      </c>
      <c r="H45" s="2" t="inlineStr">
        <is>
          <t>부산 최초이자 유일한 도심형 온천 스파!</t>
        </is>
      </c>
      <c r="I45" s="2" t="n">
        <v>33000</v>
      </c>
      <c r="J45" s="2" t="n">
        <v>17000</v>
      </c>
      <c r="K45" s="2" t="n">
        <v>48</v>
      </c>
      <c r="L45" s="2" t="inlineStr">
        <is>
          <t>클럽디오아시스 나이트스파권(9/1~9/30)</t>
        </is>
      </c>
      <c r="M45" s="2" t="n">
        <v>6</v>
      </c>
      <c r="N45" s="2" t="inlineStr">
        <is>
          <t>2026-09-01</t>
        </is>
      </c>
      <c r="O45" s="2" t="inlineStr">
        <is>
          <t>2026-11-30</t>
        </is>
      </c>
      <c r="P45" s="2" t="inlineStr"/>
      <c r="Q45" s="2" t="inlineStr">
        <is>
          <t>모바일티켓;바로 사용가능</t>
        </is>
      </c>
      <c r="R45" s="2" t="inlineStr">
        <is>
          <t>즉시발송</t>
        </is>
      </c>
      <c r="S45" s="2" t="inlineStr"/>
      <c r="T45" s="2" t="inlineStr">
        <is>
          <t>LMS 문자</t>
        </is>
      </c>
      <c r="U45" s="2" t="inlineStr">
        <is>
          <t>매표소 교환 / 바로 입장 | 모바일 이용권 현장 매표소 제시 후 이용 가능(재발송 가능 상품)</t>
        </is>
      </c>
      <c r="V45" s="2" t="n">
        <v>10</v>
      </c>
      <c r="W45" s="2" t="inlineStr">
        <is>
          <t>기한: 수령 후 7일 이내 | 수수료: 발송·취소 장당 1,000원 | 불가: 부분취소, 기간경과 | 접수: 유선</t>
        </is>
      </c>
      <c r="X45" s="2" t="inlineStr">
        <is>
          <t>클럽디오아시스</t>
        </is>
      </c>
      <c r="Y45" s="2" t="inlineStr">
        <is>
          <t>부산 해운대구 달맞이길 30 엘시티</t>
        </is>
      </c>
      <c r="Z45" s="2" t="inlineStr">
        <is>
          <t>1566-8007</t>
        </is>
      </c>
      <c r="AA45" s="2" t="inlineStr">
        <is>
          <t>https://www.clubdoasis.com/</t>
        </is>
      </c>
      <c r="AB45" s="2" t="inlineStr">
        <is>
          <t>바로 사용가능</t>
        </is>
      </c>
      <c r="AC45" s="2" t="inlineStr">
        <is>
          <t>Y</t>
        </is>
      </c>
      <c r="AD45" s="2" t="inlineStr"/>
      <c r="AE45" s="2" t="inlineStr">
        <is>
          <t>2026-09-30T04:41:08</t>
        </is>
      </c>
    </row>
    <row r="46">
      <c r="A46" s="2" t="inlineStr">
        <is>
          <t>330190</t>
        </is>
      </c>
      <c r="B46" s="2" t="inlineStr">
        <is>
          <t>테마파크</t>
        </is>
      </c>
      <c r="C46" s="2" t="inlineStr">
        <is>
          <t>테마파크</t>
        </is>
      </c>
      <c r="D46" s="2" t="inlineStr">
        <is>
          <t>경기</t>
        </is>
      </c>
      <c r="E46" s="2" t="inlineStr">
        <is>
          <t>수도권</t>
        </is>
      </c>
      <c r="F46" s="2" t="inlineStr">
        <is>
          <t>고양</t>
        </is>
      </c>
      <c r="G46" s="2" t="inlineStr">
        <is>
          <t>프렌디노 공룡 어린이키즈</t>
        </is>
      </c>
      <c r="H46" s="2" t="inlineStr">
        <is>
          <t>도심 속 공룡 테마파크!</t>
        </is>
      </c>
      <c r="I46" s="2" t="n">
        <v>10000</v>
      </c>
      <c r="J46" s="2" t="n">
        <v>7000</v>
      </c>
      <c r="K46" s="2" t="n">
        <v>30</v>
      </c>
      <c r="L46" s="2" t="inlineStr">
        <is>
          <t>프렌디노 공룡 어린이키즈 대인종일권(~11/1)</t>
        </is>
      </c>
      <c r="M46" s="2" t="n">
        <v>4</v>
      </c>
      <c r="N46" s="2" t="inlineStr">
        <is>
          <t>2025-09-01</t>
        </is>
      </c>
      <c r="O46" s="2" t="inlineStr">
        <is>
          <t>2026-11-01</t>
        </is>
      </c>
      <c r="P46" s="2" t="inlineStr"/>
      <c r="Q46" s="2" t="inlineStr">
        <is>
          <t>모바일티켓;바로 사용가능</t>
        </is>
      </c>
      <c r="R46" s="2" t="inlineStr">
        <is>
          <t>즉시발송</t>
        </is>
      </c>
      <c r="S46" s="2" t="inlineStr"/>
      <c r="T46" s="2" t="inlineStr">
        <is>
          <t>LMS 문자</t>
        </is>
      </c>
      <c r="U46" s="2" t="inlineStr">
        <is>
          <t>매표소 교환 / 바로 입장</t>
        </is>
      </c>
      <c r="V46" s="2" t="n">
        <v>100</v>
      </c>
      <c r="W46" s="2" t="inlineStr">
        <is>
          <t>기한: 수령 후 7일 이내 | 수수료: 발송·취소 장당 1,000원 | 불가: 부분취소, 기간경과 | 접수: 유선</t>
        </is>
      </c>
      <c r="X46" s="2" t="inlineStr">
        <is>
          <t>프렌디노 공룡 키즈파크</t>
        </is>
      </c>
      <c r="Y46" s="2" t="inlineStr">
        <is>
          <t>경기 고양시 일산서구 한류월드로 300 3층 3001호</t>
        </is>
      </c>
      <c r="Z46" s="2" t="inlineStr">
        <is>
          <t>0507-1369-9756</t>
        </is>
      </c>
      <c r="AA46" s="2" t="inlineStr">
        <is>
          <t>https://www.instagram.com/friendino.official/</t>
        </is>
      </c>
      <c r="AB46" s="2" t="inlineStr">
        <is>
          <t>바로 사용가능</t>
        </is>
      </c>
      <c r="AC46" s="2" t="inlineStr">
        <is>
          <t>Y</t>
        </is>
      </c>
      <c r="AD46" s="2" t="inlineStr"/>
      <c r="AE46" s="2" t="inlineStr">
        <is>
          <t>2026-09-30T04:41:10</t>
        </is>
      </c>
    </row>
    <row r="47">
      <c r="A47" s="2" t="inlineStr">
        <is>
          <t>326780</t>
        </is>
      </c>
      <c r="B47" s="2" t="inlineStr">
        <is>
          <t>테마파크</t>
        </is>
      </c>
      <c r="C47" s="2" t="inlineStr">
        <is>
          <t>테마파크</t>
        </is>
      </c>
      <c r="D47" s="2" t="inlineStr">
        <is>
          <t>경기</t>
        </is>
      </c>
      <c r="E47" s="2" t="inlineStr">
        <is>
          <t>수도권</t>
        </is>
      </c>
      <c r="F47" s="2" t="inlineStr">
        <is>
          <t>남양주</t>
        </is>
      </c>
      <c r="G47" s="2" t="inlineStr">
        <is>
          <t>프리미어 뽀로로테마파크 다산 위드트래블</t>
        </is>
      </c>
      <c r="H47" s="2" t="inlineStr">
        <is>
          <t>1,000평 규모에 인터랙티브 미디어 아트 테마파크</t>
        </is>
      </c>
      <c r="I47" s="2" t="n">
        <v>30000</v>
      </c>
      <c r="J47" s="2" t="n">
        <v>15000</v>
      </c>
      <c r="K47" s="2" t="n">
        <v>50</v>
      </c>
      <c r="L47" s="2" t="inlineStr">
        <is>
          <t>주중 대인 종일권 뽀로로파크(~9/30)</t>
        </is>
      </c>
      <c r="M47" s="2" t="n">
        <v>4</v>
      </c>
      <c r="N47" s="2" t="inlineStr">
        <is>
          <t>2026-06-01</t>
        </is>
      </c>
      <c r="O47" s="2" t="inlineStr">
        <is>
          <t>2026-09-30</t>
        </is>
      </c>
      <c r="P47" s="2" t="inlineStr"/>
      <c r="Q47" s="2" t="inlineStr">
        <is>
          <t>모바일티켓;바로 사용가능</t>
        </is>
      </c>
      <c r="R47" s="2" t="inlineStr">
        <is>
          <t>즉시발송</t>
        </is>
      </c>
      <c r="S47" s="2" t="inlineStr">
        <is>
          <t>H2OKR</t>
        </is>
      </c>
      <c r="T47" s="2" t="inlineStr">
        <is>
          <t>알림톡</t>
        </is>
      </c>
      <c r="U47" s="2" t="inlineStr">
        <is>
          <t>QR/바코드 제시 / 바로 입장 | 알림톡 이용권 현장 키오스크 발권 후 이용 가능(재발송 가능 상품)</t>
        </is>
      </c>
      <c r="V47" s="2" t="n">
        <v>10</v>
      </c>
      <c r="W47" s="2" t="inlineStr">
        <is>
          <t>기한: 수령 후 7일 이내 | 수수료: 발송·취소 장당 1,000원 | 불가: 부분취소, 기간경과 | 접수: 유선</t>
        </is>
      </c>
      <c r="X47" s="2" t="inlineStr">
        <is>
          <t>프리미어 뽀로로테마파크 다산 위드 트래블</t>
        </is>
      </c>
      <c r="Y47" s="2" t="inlineStr">
        <is>
          <t>경기 남양주시 다산지금로 202 현대테라타워DIMC 지하1층 RB1-0001호 외 4호</t>
        </is>
      </c>
      <c r="Z47" s="2" t="inlineStr">
        <is>
          <t>0507-1390-3624</t>
        </is>
      </c>
      <c r="AA47" s="2" t="inlineStr">
        <is>
          <t>http://www.pororopark.com/index.php</t>
        </is>
      </c>
      <c r="AB47" s="2" t="inlineStr">
        <is>
          <t>바로 사용가능</t>
        </is>
      </c>
      <c r="AC47" s="2" t="inlineStr">
        <is>
          <t>Y</t>
        </is>
      </c>
      <c r="AD47" s="2" t="inlineStr"/>
      <c r="AE47" s="2" t="inlineStr">
        <is>
          <t>2026-09-30T04:41:13</t>
        </is>
      </c>
    </row>
    <row r="48">
      <c r="A48" s="2" t="inlineStr">
        <is>
          <t>330379</t>
        </is>
      </c>
      <c r="B48" s="2" t="inlineStr">
        <is>
          <t>워터파크</t>
        </is>
      </c>
      <c r="C48" s="2" t="inlineStr">
        <is>
          <t>워터파크</t>
        </is>
      </c>
      <c r="D48" s="2" t="inlineStr">
        <is>
          <t>경북</t>
        </is>
      </c>
      <c r="E48" s="2" t="inlineStr">
        <is>
          <t>영남</t>
        </is>
      </c>
      <c r="F48" s="2" t="inlineStr">
        <is>
          <t>경북</t>
        </is>
      </c>
      <c r="G48" s="2" t="inlineStr">
        <is>
          <t>경주 뽀로로아쿠아빌리지 워터파크</t>
        </is>
      </c>
      <c r="H48" s="2" t="inlineStr">
        <is>
          <t>뽀로로와 함께 떠나는 두근두근 어드벤처~</t>
        </is>
      </c>
      <c r="I48" s="2" t="n">
        <v>50000</v>
      </c>
      <c r="J48" s="2" t="n">
        <v>24900</v>
      </c>
      <c r="K48" s="2" t="n">
        <v>50</v>
      </c>
      <c r="L48" s="2" t="inlineStr">
        <is>
          <t>주중권 뽀로로아쿠아빌리지(10/1~10/30)</t>
        </is>
      </c>
      <c r="M48" s="2" t="n">
        <v>2</v>
      </c>
      <c r="N48" s="2" t="inlineStr">
        <is>
          <t>2026-10-01</t>
        </is>
      </c>
      <c r="O48" s="2" t="inlineStr">
        <is>
          <t>2026-10-31</t>
        </is>
      </c>
      <c r="P48" s="2" t="inlineStr"/>
      <c r="Q48" s="2" t="inlineStr">
        <is>
          <t>모바일티켓;바로 사용가능</t>
        </is>
      </c>
      <c r="R48" s="2" t="inlineStr">
        <is>
          <t>즉시발송</t>
        </is>
      </c>
      <c r="S48" s="2" t="inlineStr">
        <is>
          <t>놀이의발견</t>
        </is>
      </c>
      <c r="T48" s="2" t="inlineStr">
        <is>
          <t>알림톡</t>
        </is>
      </c>
      <c r="U48" s="2" t="inlineStr">
        <is>
          <t>매표소 교환 / 바로 입장 | 카카오톡 이용권 현장 매표소 제시 후 이용 가능(재발송 가능 상품)</t>
        </is>
      </c>
      <c r="V48" s="2" t="n">
        <v>10</v>
      </c>
      <c r="W48" s="2" t="inlineStr">
        <is>
          <t>기한: 수령 후 7일 이내 | 수수료: 발송·취소 장당 1,000원 | 불가: 부분취소, 기간경과 | 접수: 유선</t>
        </is>
      </c>
      <c r="X48" s="2" t="inlineStr">
        <is>
          <t>경주 뽀로로아쿠아빌리지</t>
        </is>
      </c>
      <c r="Y48" s="2" t="inlineStr">
        <is>
          <t>경상북도 경주시 보문로 182-27</t>
        </is>
      </c>
      <c r="Z48" s="2" t="inlineStr">
        <is>
          <t>0507-1465-8309</t>
        </is>
      </c>
      <c r="AA48" s="2" t="inlineStr"/>
      <c r="AB48" s="2" t="inlineStr">
        <is>
          <t>바로 사용가능</t>
        </is>
      </c>
      <c r="AC48" s="2" t="inlineStr">
        <is>
          <t>Y</t>
        </is>
      </c>
      <c r="AD48" s="2" t="inlineStr"/>
      <c r="AE48" s="2" t="inlineStr">
        <is>
          <t>2026-09-30T04:41:15</t>
        </is>
      </c>
    </row>
    <row r="49">
      <c r="A49" s="2" t="inlineStr">
        <is>
          <t>325268</t>
        </is>
      </c>
      <c r="B49" s="2" t="inlineStr">
        <is>
          <t>워터파크</t>
        </is>
      </c>
      <c r="C49" s="2" t="inlineStr">
        <is>
          <t>워터파크</t>
        </is>
      </c>
      <c r="D49" s="2" t="inlineStr">
        <is>
          <t>전남</t>
        </is>
      </c>
      <c r="E49" s="2" t="inlineStr">
        <is>
          <t>호남</t>
        </is>
      </c>
      <c r="F49" s="2" t="inlineStr">
        <is>
          <t>화순</t>
        </is>
      </c>
      <c r="G49" s="2" t="inlineStr">
        <is>
          <t>화순아쿠아나</t>
        </is>
      </c>
      <c r="H49" s="2" t="inlineStr">
        <is>
          <t>남도 제일의 휴양 온천수!!</t>
        </is>
      </c>
      <c r="I49" s="2" t="n">
        <v>55000</v>
      </c>
      <c r="J49" s="2" t="n">
        <v>18000</v>
      </c>
      <c r="K49" s="2" t="n">
        <v>67</v>
      </c>
      <c r="L49" s="2" t="inlineStr">
        <is>
          <t>주중종일권 비수기 화순아쿠아나(8/31~12/31)</t>
        </is>
      </c>
      <c r="M49" s="2" t="n">
        <v>2</v>
      </c>
      <c r="N49" s="2" t="inlineStr">
        <is>
          <t>2026-08-31</t>
        </is>
      </c>
      <c r="O49" s="2" t="inlineStr">
        <is>
          <t>2026-12-31</t>
        </is>
      </c>
      <c r="P49" s="2" t="inlineStr"/>
      <c r="Q49" s="2" t="inlineStr">
        <is>
          <t>모바일티켓;수령 후 사용 가능</t>
        </is>
      </c>
      <c r="R49" s="2" t="inlineStr">
        <is>
          <t>수령후사용</t>
        </is>
      </c>
      <c r="S49" s="2" t="inlineStr"/>
      <c r="T49" s="2" t="inlineStr">
        <is>
          <t>LMS 문자/순차 발송</t>
        </is>
      </c>
      <c r="U49" s="2" t="inlineStr">
        <is>
          <t>QR/바코드 제시 / 매표소 교환 / 바로 입장 | LMS 바코드 문자 이용권 현장 매표소 제시 후 이용 가능(재발송 가능 상품)</t>
        </is>
      </c>
      <c r="V49" s="2" t="n">
        <v>100</v>
      </c>
      <c r="W49" s="2" t="inlineStr">
        <is>
          <t>기한: 수령 후 7일 이내 | 수수료: 발송·취소 장당 1,000원 | 불가: 부분취소, 기간경과 | 접수: 유선</t>
        </is>
      </c>
      <c r="X49" s="2" t="inlineStr">
        <is>
          <t>화순 아쿠아나</t>
        </is>
      </c>
      <c r="Y49" s="2" t="inlineStr">
        <is>
          <t>전라남도 화순군 백아면 옥리길 14-21</t>
        </is>
      </c>
      <c r="Z49" s="2" t="inlineStr">
        <is>
          <t>061-370-5070</t>
        </is>
      </c>
      <c r="AA49" s="2" t="inlineStr">
        <is>
          <t>https://www.kumhoresort.co.kr/aquana/?khr=A1110</t>
        </is>
      </c>
      <c r="AB49" s="2" t="inlineStr">
        <is>
          <t>수령 후 사용 가능</t>
        </is>
      </c>
      <c r="AC49" s="2" t="inlineStr">
        <is>
          <t>Y</t>
        </is>
      </c>
      <c r="AD49" s="2" t="inlineStr"/>
      <c r="AE49" s="2" t="inlineStr">
        <is>
          <t>2026-09-30T04:41:17</t>
        </is>
      </c>
    </row>
    <row r="50">
      <c r="A50" s="2" t="inlineStr">
        <is>
          <t>326591</t>
        </is>
      </c>
      <c r="B50" s="2" t="inlineStr">
        <is>
          <t>워터파크</t>
        </is>
      </c>
      <c r="C50" s="2" t="inlineStr">
        <is>
          <t>워터파크</t>
        </is>
      </c>
      <c r="D50" s="2" t="inlineStr">
        <is>
          <t>서울</t>
        </is>
      </c>
      <c r="E50" s="2" t="inlineStr">
        <is>
          <t>수도권</t>
        </is>
      </c>
      <c r="F50" s="2" t="inlineStr">
        <is>
          <t>서울</t>
        </is>
      </c>
      <c r="G50" s="2" t="inlineStr">
        <is>
          <t>씨랄라 워터파크</t>
        </is>
      </c>
      <c r="H50" s="2" t="inlineStr">
        <is>
          <t>도심 속 사계절 물놀이 휴양공간</t>
        </is>
      </c>
      <c r="I50" s="2" t="n">
        <v>40000</v>
      </c>
      <c r="J50" s="2" t="n">
        <v>24900</v>
      </c>
      <c r="K50" s="2" t="n">
        <v>38</v>
      </c>
      <c r="L50" s="2" t="inlineStr">
        <is>
          <t>대소공통 종일권 씨랄라 워터파크(9/1~10/31)</t>
        </is>
      </c>
      <c r="M50" s="2" t="n">
        <v>2</v>
      </c>
      <c r="N50" s="2" t="inlineStr">
        <is>
          <t>2026-09-01</t>
        </is>
      </c>
      <c r="O50" s="2" t="inlineStr">
        <is>
          <t>2026-10-31</t>
        </is>
      </c>
      <c r="P50" s="2" t="inlineStr"/>
      <c r="Q50" s="2" t="inlineStr">
        <is>
          <t>모바일티켓;바로 사용가능</t>
        </is>
      </c>
      <c r="R50" s="2" t="inlineStr">
        <is>
          <t>즉시발송</t>
        </is>
      </c>
      <c r="S50" s="2" t="inlineStr"/>
      <c r="T50" s="2" t="inlineStr">
        <is>
          <t>LMS 문자</t>
        </is>
      </c>
      <c r="U50" s="2" t="inlineStr">
        <is>
          <t>매표소 교환 / 바로 입장 | 모바일 이용권 현장 매표소 제시 후 이용 가능(재발송 가능 상품)</t>
        </is>
      </c>
      <c r="V50" s="2" t="n">
        <v>100</v>
      </c>
      <c r="W50" s="2" t="inlineStr">
        <is>
          <t>기한: 수령 후 7일 이내 | 수수료: 발송·취소 장당 1,000원 | 불가: 부분취소, 기간경과 | 접수: 유선</t>
        </is>
      </c>
      <c r="X50" s="2" t="inlineStr">
        <is>
          <t>씨랄라 워터파크</t>
        </is>
      </c>
      <c r="Y50" s="2" t="inlineStr">
        <is>
          <t>서울 영등포구 문래로 164</t>
        </is>
      </c>
      <c r="Z50" s="2" t="inlineStr">
        <is>
          <t>1522-9661</t>
        </is>
      </c>
      <c r="AA50" s="2" t="inlineStr">
        <is>
          <t>http://www.sealala.com/</t>
        </is>
      </c>
      <c r="AB50" s="2" t="inlineStr">
        <is>
          <t>바로 사용가능</t>
        </is>
      </c>
      <c r="AC50" s="2" t="inlineStr">
        <is>
          <t>Y</t>
        </is>
      </c>
      <c r="AD50" s="2" t="inlineStr"/>
      <c r="AE50" s="2" t="inlineStr">
        <is>
          <t>2026-09-30T04:41:20</t>
        </is>
      </c>
    </row>
    <row r="51">
      <c r="A51" s="2" t="inlineStr">
        <is>
          <t>320284</t>
        </is>
      </c>
      <c r="B51" s="2" t="inlineStr">
        <is>
          <t>테마파크</t>
        </is>
      </c>
      <c r="C51" s="2" t="inlineStr">
        <is>
          <t>테마파크</t>
        </is>
      </c>
      <c r="D51" s="2" t="inlineStr">
        <is>
          <t>경기</t>
        </is>
      </c>
      <c r="E51" s="2" t="inlineStr">
        <is>
          <t>수도권</t>
        </is>
      </c>
      <c r="F51" s="2" t="inlineStr">
        <is>
          <t>동탄</t>
        </is>
      </c>
      <c r="G51" s="2" t="inlineStr">
        <is>
          <t>아르티스 테마파크</t>
        </is>
      </c>
      <c r="H51" s="2" t="inlineStr">
        <is>
          <t>국내 유일 실내 생태 체험 테마파크!</t>
        </is>
      </c>
      <c r="I51" s="2" t="n">
        <v>7000</v>
      </c>
      <c r="J51" s="2" t="n">
        <v>6200</v>
      </c>
      <c r="K51" s="2" t="n">
        <v>11</v>
      </c>
      <c r="L51" s="2" t="inlineStr">
        <is>
          <t>7종 먹이주기 체험 풀세트 아르티스 테마파크(~12/31)</t>
        </is>
      </c>
      <c r="M51" s="2" t="n">
        <v>3</v>
      </c>
      <c r="N51" s="2" t="inlineStr">
        <is>
          <t>구매일</t>
        </is>
      </c>
      <c r="O51" s="2" t="inlineStr">
        <is>
          <t>2026-12-31</t>
        </is>
      </c>
      <c r="P51" s="2" t="inlineStr"/>
      <c r="Q51" s="2" t="inlineStr">
        <is>
          <t>모바일티켓;바로 사용가능</t>
        </is>
      </c>
      <c r="R51" s="2" t="inlineStr">
        <is>
          <t>즉시발송</t>
        </is>
      </c>
      <c r="S51" s="2" t="inlineStr">
        <is>
          <t>엘에스컴퍼니</t>
        </is>
      </c>
      <c r="T51" s="2" t="inlineStr">
        <is>
          <t>알림톡</t>
        </is>
      </c>
      <c r="U51" s="2" t="inlineStr">
        <is>
          <t>매표소 교환 / 바로 입장 | 모바일 이용권 현장 매표소 제시 후 이용 가능(재발송 가능 상품)</t>
        </is>
      </c>
      <c r="V51" s="2" t="n">
        <v>20</v>
      </c>
      <c r="W51" s="2" t="inlineStr">
        <is>
          <t>기한: 수령 후 7일 이내 | 수수료: 발송·취소 장당 1,000원 | 불가: 부분취소, 기간경과 | 접수: 유선(주중)</t>
        </is>
      </c>
      <c r="X51" s="2" t="inlineStr">
        <is>
          <t>아르티스 테마파크</t>
        </is>
      </c>
      <c r="Y51" s="2" t="inlineStr">
        <is>
          <t>경기 화성시 동탄구 동탄대로19길 10 신유메디프라자 9층</t>
        </is>
      </c>
      <c r="Z51" s="2" t="inlineStr">
        <is>
          <t>0507-1310-4028</t>
        </is>
      </c>
      <c r="AA51" s="2" t="inlineStr">
        <is>
          <t>https://www.artisthemepark.co.kr/</t>
        </is>
      </c>
      <c r="AB51" s="2" t="inlineStr">
        <is>
          <t>바로 사용가능</t>
        </is>
      </c>
      <c r="AC51" s="2" t="inlineStr">
        <is>
          <t>Y</t>
        </is>
      </c>
      <c r="AD51" s="2" t="inlineStr"/>
      <c r="AE51" s="2" t="inlineStr">
        <is>
          <t>2026-09-30T04:41:22</t>
        </is>
      </c>
    </row>
    <row r="52">
      <c r="A52" s="2" t="inlineStr">
        <is>
          <t>309658</t>
        </is>
      </c>
      <c r="B52" s="2" t="inlineStr">
        <is>
          <t>테마파크</t>
        </is>
      </c>
      <c r="C52" s="2" t="inlineStr">
        <is>
          <t>테마파크</t>
        </is>
      </c>
      <c r="D52" s="2" t="inlineStr">
        <is>
          <t>경기</t>
        </is>
      </c>
      <c r="E52" s="2" t="inlineStr">
        <is>
          <t>수도권</t>
        </is>
      </c>
      <c r="F52" s="2" t="inlineStr">
        <is>
          <t>가평</t>
        </is>
      </c>
      <c r="G52" s="2" t="inlineStr">
        <is>
          <t>베고니아 새정원</t>
        </is>
      </c>
      <c r="H52" s="2" t="inlineStr">
        <is>
          <t>꽃, 새, 정원이 있는 스마일링 힐링 파크!!</t>
        </is>
      </c>
      <c r="I52" s="2" t="n">
        <v>18000</v>
      </c>
      <c r="J52" s="2" t="n">
        <v>15000</v>
      </c>
      <c r="K52" s="2" t="n">
        <v>17</v>
      </c>
      <c r="L52" s="2" t="inlineStr">
        <is>
          <t>대인입장권 베고니아 새정원(~12/31)</t>
        </is>
      </c>
      <c r="M52" s="2" t="n">
        <v>2</v>
      </c>
      <c r="N52" s="2" t="inlineStr">
        <is>
          <t>2026-03-24</t>
        </is>
      </c>
      <c r="O52" s="2" t="inlineStr">
        <is>
          <t>2026-12-31</t>
        </is>
      </c>
      <c r="P52" s="2" t="inlineStr"/>
      <c r="Q52" s="2" t="inlineStr">
        <is>
          <t>모바일티켓;바로 사용가능</t>
        </is>
      </c>
      <c r="R52" s="2" t="inlineStr">
        <is>
          <t>즉시발송</t>
        </is>
      </c>
      <c r="S52" s="2" t="inlineStr">
        <is>
          <t>엘에스컴퍼니</t>
        </is>
      </c>
      <c r="T52" s="2" t="inlineStr">
        <is>
          <t>알림톡</t>
        </is>
      </c>
      <c r="U52" s="2" t="inlineStr">
        <is>
          <t>매표소 교환 / 바로 입장 | 모바일 이용권 현장 매표소 제시 후 이용 가능(재발송 가능 상품)</t>
        </is>
      </c>
      <c r="V52" s="2" t="n">
        <v>20</v>
      </c>
      <c r="W52" s="2" t="inlineStr">
        <is>
          <t>기한: 수령 후 7일 이내 | 수수료: 발송·취소 장당 1,000원 | 불가: 부분취소, 기간경과 | 접수: 유선(주중)</t>
        </is>
      </c>
      <c r="X52" s="2" t="inlineStr">
        <is>
          <t>가평 베고니아 새정원</t>
        </is>
      </c>
      <c r="Y52" s="2" t="inlineStr">
        <is>
          <t>경기 가평군 설악면 미사리로270번길 28 가평베고니아새정원</t>
        </is>
      </c>
      <c r="Z52" s="2" t="inlineStr">
        <is>
          <t>031-584-4477</t>
        </is>
      </c>
      <c r="AA52" s="2" t="inlineStr">
        <is>
          <t>https://www.begoniabirdpark.com/</t>
        </is>
      </c>
      <c r="AB52" s="2" t="inlineStr">
        <is>
          <t>바로 사용가능</t>
        </is>
      </c>
      <c r="AC52" s="2" t="inlineStr">
        <is>
          <t>Y</t>
        </is>
      </c>
      <c r="AD52" s="2" t="inlineStr"/>
      <c r="AE52" s="2" t="inlineStr">
        <is>
          <t>2026-09-30T04:41:25</t>
        </is>
      </c>
    </row>
    <row r="53">
      <c r="A53" s="2" t="inlineStr">
        <is>
          <t>328229</t>
        </is>
      </c>
      <c r="B53" s="2" t="inlineStr">
        <is>
          <t>공연</t>
        </is>
      </c>
      <c r="C53" s="2" t="inlineStr">
        <is>
          <t>콘서트</t>
        </is>
      </c>
      <c r="D53" s="2" t="inlineStr">
        <is>
          <t>서울</t>
        </is>
      </c>
      <c r="E53" s="2" t="inlineStr">
        <is>
          <t>수도권</t>
        </is>
      </c>
      <c r="F53" s="2" t="inlineStr">
        <is>
          <t>홍대</t>
        </is>
      </c>
      <c r="G53" s="2" t="inlineStr">
        <is>
          <t>쇼츠 -SHOWS -세계최초 액션 퍼포먼스펍-</t>
        </is>
      </c>
      <c r="H53" s="2" t="inlineStr">
        <is>
          <t>태권도를 활용한 액션 퍼포먼스와 맛있는 음식을 즐길 수 있는 이색 공연장!</t>
        </is>
      </c>
      <c r="I53" s="2" t="n">
        <v>40000</v>
      </c>
      <c r="J53" s="2" t="n">
        <v>19000</v>
      </c>
      <c r="K53" s="2" t="n">
        <v>53</v>
      </c>
      <c r="L53" s="2" t="inlineStr">
        <is>
          <t>[홍대] 쇼츠 공연관람권 (토요일 19:30)</t>
        </is>
      </c>
      <c r="M53" s="2" t="n">
        <v>1</v>
      </c>
      <c r="N53" s="2" t="inlineStr">
        <is>
          <t>구매일</t>
        </is>
      </c>
      <c r="O53" s="2" t="inlineStr"/>
      <c r="P53" s="2" t="inlineStr">
        <is>
          <t>30</t>
        </is>
      </c>
      <c r="Q53" s="2" t="inlineStr">
        <is>
          <t>모바일티켓;예약필수</t>
        </is>
      </c>
      <c r="R53" s="2" t="inlineStr">
        <is>
          <t>예약필수</t>
        </is>
      </c>
      <c r="S53" s="2" t="inlineStr"/>
      <c r="T53" s="2" t="inlineStr"/>
      <c r="U53" s="2" t="inlineStr">
        <is>
          <t>전화 예약</t>
        </is>
      </c>
      <c r="V53" s="2" t="n">
        <v>100</v>
      </c>
      <c r="W53" s="2" t="inlineStr">
        <is>
          <t>수수료: D-7 50%, D-3 20% | 불가: 예약확정 후 | 접수: 유선(주중)</t>
        </is>
      </c>
      <c r="X53" s="2" t="inlineStr">
        <is>
          <t>홍대 쇼츠</t>
        </is>
      </c>
      <c r="Y53" s="2" t="inlineStr">
        <is>
          <t>서울 마포구 홍익로5길 25 3층</t>
        </is>
      </c>
      <c r="Z53" s="2" t="inlineStr">
        <is>
          <t>010-2607-9274</t>
        </is>
      </c>
      <c r="AA53" s="2" t="inlineStr">
        <is>
          <t>https://naver.me/xgN36YCy</t>
        </is>
      </c>
      <c r="AB53" s="2" t="inlineStr">
        <is>
          <t>예약필수</t>
        </is>
      </c>
      <c r="AC53" s="2" t="inlineStr">
        <is>
          <t>Y</t>
        </is>
      </c>
      <c r="AD53" s="2" t="inlineStr"/>
      <c r="AE53" s="2" t="inlineStr">
        <is>
          <t>2026-09-30T04:41:27</t>
        </is>
      </c>
    </row>
    <row r="54">
      <c r="A54" s="2" t="inlineStr">
        <is>
          <t>330253</t>
        </is>
      </c>
      <c r="B54" s="2" t="inlineStr">
        <is>
          <t>테마파크</t>
        </is>
      </c>
      <c r="C54" s="2" t="inlineStr">
        <is>
          <t>아쿠아리움</t>
        </is>
      </c>
      <c r="D54" s="2" t="inlineStr">
        <is>
          <t>부산</t>
        </is>
      </c>
      <c r="E54" s="2" t="inlineStr">
        <is>
          <t>영남</t>
        </is>
      </c>
      <c r="F54" s="2" t="inlineStr">
        <is>
          <t>부산</t>
        </is>
      </c>
      <c r="G54" s="2" t="inlineStr">
        <is>
          <t>씨라이프 부산아쿠아리움</t>
        </is>
      </c>
      <c r="H54" s="2" t="inlineStr">
        <is>
          <t>놀라운 바닷속 탐험!</t>
        </is>
      </c>
      <c r="I54" s="2" t="n">
        <v>31000</v>
      </c>
      <c r="J54" s="2" t="n">
        <v>23500</v>
      </c>
      <c r="K54" s="2" t="n">
        <v>24</v>
      </c>
      <c r="L54" s="2" t="inlineStr">
        <is>
          <t>입장권 부산아쿠아리움(~11/30)</t>
        </is>
      </c>
      <c r="M54" s="2" t="n">
        <v>2</v>
      </c>
      <c r="N54" s="2" t="inlineStr">
        <is>
          <t>2026-01-20</t>
        </is>
      </c>
      <c r="O54" s="2" t="inlineStr">
        <is>
          <t>2026-11-30</t>
        </is>
      </c>
      <c r="P54" s="2" t="inlineStr"/>
      <c r="Q54" s="2" t="inlineStr">
        <is>
          <t>모바일티켓;수령 후 사용 가능</t>
        </is>
      </c>
      <c r="R54" s="2" t="inlineStr">
        <is>
          <t>수령후사용</t>
        </is>
      </c>
      <c r="S54" s="2" t="inlineStr"/>
      <c r="T54" s="2" t="inlineStr">
        <is>
          <t>LMS 문자</t>
        </is>
      </c>
      <c r="U54" s="2" t="inlineStr">
        <is>
          <t>QR/바코드 제시 / 매표소 교환 / 바로 입장 | LMS 바코드 문자 이용권 현장 매표소 제시 후 이용 가능(재발송 가능 상품)</t>
        </is>
      </c>
      <c r="V54" s="2" t="n">
        <v>20</v>
      </c>
      <c r="W54" s="2" t="inlineStr">
        <is>
          <t>기한: 수령 후 7일 이내 | 수수료: 발송·취소 장당 1,000원 | 불가: 부분취소, 기간경과 | 접수: 유선</t>
        </is>
      </c>
      <c r="X54" s="2" t="inlineStr">
        <is>
          <t>씨라이프부산아쿠아리움</t>
        </is>
      </c>
      <c r="Y54" s="2" t="inlineStr">
        <is>
          <t>부산 해운대구 해운대해변로 266</t>
        </is>
      </c>
      <c r="Z54" s="2" t="inlineStr">
        <is>
          <t>051-740-1700</t>
        </is>
      </c>
      <c r="AA54" s="2" t="inlineStr">
        <is>
          <t>https://www.visitsealife.com/busan/</t>
        </is>
      </c>
      <c r="AB54" s="2" t="inlineStr">
        <is>
          <t>수령 후 사용 가능</t>
        </is>
      </c>
      <c r="AC54" s="2" t="inlineStr">
        <is>
          <t>Y</t>
        </is>
      </c>
      <c r="AD54" s="2" t="inlineStr"/>
      <c r="AE54" s="2" t="inlineStr">
        <is>
          <t>2026-09-30T04:41:30</t>
        </is>
      </c>
    </row>
    <row r="55">
      <c r="A55" s="2" t="inlineStr">
        <is>
          <t>327095</t>
        </is>
      </c>
      <c r="B55" s="2" t="inlineStr">
        <is>
          <t>테마파크</t>
        </is>
      </c>
      <c r="C55" s="2" t="inlineStr">
        <is>
          <t>아쿠아리움</t>
        </is>
      </c>
      <c r="D55" s="2" t="inlineStr">
        <is>
          <t>경기</t>
        </is>
      </c>
      <c r="E55" s="2" t="inlineStr">
        <is>
          <t>수도권</t>
        </is>
      </c>
      <c r="F55" s="2" t="inlineStr">
        <is>
          <t>일산</t>
        </is>
      </c>
      <c r="G55" s="2" t="inlineStr">
        <is>
          <t>일산아쿠아플라넷</t>
        </is>
      </c>
      <c r="H55" s="2" t="inlineStr">
        <is>
          <t>도심 속에서 즐기는 해저여행과 정글탐험</t>
        </is>
      </c>
      <c r="I55" s="2" t="n">
        <v>31000</v>
      </c>
      <c r="J55" s="2" t="n">
        <v>22500</v>
      </c>
      <c r="K55" s="2" t="n">
        <v>27</v>
      </c>
      <c r="L55" s="2" t="inlineStr">
        <is>
          <t>입장권 일산아쿠아플라넷</t>
        </is>
      </c>
      <c r="M55" s="2" t="n">
        <v>1</v>
      </c>
      <c r="N55" s="2" t="inlineStr">
        <is>
          <t>구매일</t>
        </is>
      </c>
      <c r="O55" s="2" t="inlineStr"/>
      <c r="P55" s="2" t="inlineStr">
        <is>
          <t>60</t>
        </is>
      </c>
      <c r="Q55" s="2" t="inlineStr">
        <is>
          <t>모바일티켓;바로 사용가능</t>
        </is>
      </c>
      <c r="R55" s="2" t="inlineStr">
        <is>
          <t>즉시발송</t>
        </is>
      </c>
      <c r="S55" s="2" t="inlineStr"/>
      <c r="T55" s="2" t="inlineStr">
        <is>
          <t>LMS 문자</t>
        </is>
      </c>
      <c r="U55" s="2" t="inlineStr">
        <is>
          <t>QR/바코드 제시 / 매표소 교환 / 바로 입장 | LMS 바코드 문자 이용권 현장 매표소 제시 후 이용 가능(재발송 가능 상품)</t>
        </is>
      </c>
      <c r="V55" s="2" t="n">
        <v>100</v>
      </c>
      <c r="W55" s="2" t="inlineStr">
        <is>
          <t>기한: 수령 후 7일 이내 | 수수료: 발송·취소 장당 1,000원 | 불가: 부분취소, 기간경과 | 접수: 유선</t>
        </is>
      </c>
      <c r="X55" s="2" t="inlineStr">
        <is>
          <t>아쿠아플라넷 일산</t>
        </is>
      </c>
      <c r="Y55" s="2" t="inlineStr">
        <is>
          <t>경기 고양시 일산서구 한류월드로 282 아쿠아플라넷 일산</t>
        </is>
      </c>
      <c r="Z55" s="2" t="inlineStr">
        <is>
          <t>1833-7001</t>
        </is>
      </c>
      <c r="AA55" s="2" t="inlineStr">
        <is>
          <t>https://www.aquaplanet.co.kr/ilsan/index.do</t>
        </is>
      </c>
      <c r="AB55" s="2" t="inlineStr">
        <is>
          <t>바로 사용가능</t>
        </is>
      </c>
      <c r="AC55" s="2" t="inlineStr">
        <is>
          <t>Y</t>
        </is>
      </c>
      <c r="AD55" s="2" t="inlineStr"/>
      <c r="AE55" s="2" t="inlineStr">
        <is>
          <t>2026-09-30T04:41:33</t>
        </is>
      </c>
    </row>
    <row r="56">
      <c r="A56" s="2" t="inlineStr">
        <is>
          <t>279057</t>
        </is>
      </c>
      <c r="B56" s="2" t="inlineStr">
        <is>
          <t>테마파크</t>
        </is>
      </c>
      <c r="C56" s="2" t="inlineStr">
        <is>
          <t>아쿠아리움</t>
        </is>
      </c>
      <c r="D56" s="2" t="inlineStr">
        <is>
          <t>제주</t>
        </is>
      </c>
      <c r="E56" s="2" t="inlineStr">
        <is>
          <t>제주</t>
        </is>
      </c>
      <c r="F56" s="2" t="inlineStr">
        <is>
          <t>제주</t>
        </is>
      </c>
      <c r="G56" s="2" t="inlineStr">
        <is>
          <t>제주아쿠아플라넷</t>
        </is>
      </c>
      <c r="H56" s="2" t="inlineStr">
        <is>
          <t>제주의 바다를 그대로 담은 국내 최대 아쿠아리움</t>
        </is>
      </c>
      <c r="I56" s="2" t="n">
        <v>43700</v>
      </c>
      <c r="J56" s="2" t="n">
        <v>34300</v>
      </c>
      <c r="K56" s="2" t="n">
        <v>22</v>
      </c>
      <c r="L56" s="2" t="inlineStr">
        <is>
          <t>이용권 제주아쿠아플라넷</t>
        </is>
      </c>
      <c r="M56" s="2" t="n">
        <v>1</v>
      </c>
      <c r="N56" s="2" t="inlineStr">
        <is>
          <t>구매일</t>
        </is>
      </c>
      <c r="O56" s="2" t="inlineStr"/>
      <c r="P56" s="2" t="inlineStr">
        <is>
          <t>60</t>
        </is>
      </c>
      <c r="Q56" s="2" t="inlineStr">
        <is>
          <t>모바일티켓;바로 사용가능</t>
        </is>
      </c>
      <c r="R56" s="2" t="inlineStr">
        <is>
          <t>즉시발송</t>
        </is>
      </c>
      <c r="S56" s="2" t="inlineStr"/>
      <c r="T56" s="2" t="inlineStr">
        <is>
          <t>LMS 문자</t>
        </is>
      </c>
      <c r="U56" s="2" t="inlineStr">
        <is>
          <t>매표소 교환 / 바로 입장 | 모바일 이용권 현장 매표소 제시 후 이용 가능(재발송 가능 상품)</t>
        </is>
      </c>
      <c r="V56" s="2" t="n">
        <v>100</v>
      </c>
      <c r="W56" s="2" t="inlineStr">
        <is>
          <t>기한: 수령 후 7일 이내 | 수수료: 발송·취소 장당 1,000원 | 불가: 부분취소, 기간경과 | 접수: 유선</t>
        </is>
      </c>
      <c r="X56" s="2" t="inlineStr">
        <is>
          <t>아쿠아플라넷 제주</t>
        </is>
      </c>
      <c r="Y56" s="2" t="inlineStr">
        <is>
          <t>제주특별자치도서귀포시 성산읍 섭지</t>
        </is>
      </c>
      <c r="Z56" s="2" t="inlineStr">
        <is>
          <t>064-780-0900</t>
        </is>
      </c>
      <c r="AA56" s="2" t="inlineStr">
        <is>
          <t>https://www.aquaplanet.co.kr/jeju/index.do</t>
        </is>
      </c>
      <c r="AB56" s="2" t="inlineStr">
        <is>
          <t>바로 사용가능</t>
        </is>
      </c>
      <c r="AC56" s="2" t="inlineStr">
        <is>
          <t>Y</t>
        </is>
      </c>
      <c r="AD56" s="2" t="inlineStr"/>
      <c r="AE56" s="2" t="inlineStr">
        <is>
          <t>2026-09-30T04:41:35</t>
        </is>
      </c>
    </row>
    <row r="57">
      <c r="A57" s="2" t="inlineStr">
        <is>
          <t>330316</t>
        </is>
      </c>
      <c r="B57" s="2" t="inlineStr">
        <is>
          <t>워터파크</t>
        </is>
      </c>
      <c r="C57" s="2" t="inlineStr">
        <is>
          <t>워터파크</t>
        </is>
      </c>
      <c r="D57" s="2" t="inlineStr">
        <is>
          <t>제주</t>
        </is>
      </c>
      <c r="E57" s="2" t="inlineStr">
        <is>
          <t>제주</t>
        </is>
      </c>
      <c r="F57" s="2" t="inlineStr">
        <is>
          <t>제주</t>
        </is>
      </c>
      <c r="G57" s="2" t="inlineStr">
        <is>
          <t>제주아쿠아나</t>
        </is>
      </c>
      <c r="H57" s="2" t="inlineStr">
        <is>
          <t>남쪽의 최고 여행지 제주도!!</t>
        </is>
      </c>
      <c r="I57" s="2" t="n">
        <v>35000</v>
      </c>
      <c r="J57" s="2" t="n">
        <v>18000</v>
      </c>
      <c r="K57" s="2" t="n">
        <v>49</v>
      </c>
      <c r="L57" s="2" t="inlineStr">
        <is>
          <t>이용권 제주아쿠아나(~11/30)</t>
        </is>
      </c>
      <c r="M57" s="2" t="n">
        <v>1</v>
      </c>
      <c r="N57" s="2" t="inlineStr">
        <is>
          <t>2026-06-29</t>
        </is>
      </c>
      <c r="O57" s="2" t="inlineStr">
        <is>
          <t>2026-11-30</t>
        </is>
      </c>
      <c r="P57" s="2" t="inlineStr"/>
      <c r="Q57" s="2" t="inlineStr">
        <is>
          <t>모바일티켓;수령 후 사용 가능</t>
        </is>
      </c>
      <c r="R57" s="2" t="inlineStr">
        <is>
          <t>수령후사용</t>
        </is>
      </c>
      <c r="S57" s="2" t="inlineStr"/>
      <c r="T57" s="2" t="inlineStr">
        <is>
          <t>LMS 문자/순차 발송</t>
        </is>
      </c>
      <c r="U57" s="2" t="inlineStr">
        <is>
          <t>QR/바코드 제시 / 매표소 교환 / 바로 입장 | LMS 바코드 문자 이용권 현장 매표소 제시 후 이용 가능(재발송 가능 상품)</t>
        </is>
      </c>
      <c r="V57" s="2" t="n">
        <v>20</v>
      </c>
      <c r="W57" s="2" t="inlineStr">
        <is>
          <t>기한: 수령 후 7일 이내 | 수수료: 발송·취소 장당 1,000원 | 불가: 부분취소, 기간경과 | 접수: 유선</t>
        </is>
      </c>
      <c r="X57" s="2" t="inlineStr">
        <is>
          <t>제주아쿠아나</t>
        </is>
      </c>
      <c r="Y57" s="2" t="inlineStr">
        <is>
          <t>제주특별자치도 서귀포시 남원읍 태위로 522-12</t>
        </is>
      </c>
      <c r="Z57" s="2" t="inlineStr">
        <is>
          <t>064-766-8000</t>
        </is>
      </c>
      <c r="AA57" s="2" t="inlineStr">
        <is>
          <t>https://www.kumhoresort.co.kr/aquana/?khr=B1110</t>
        </is>
      </c>
      <c r="AB57" s="2" t="inlineStr">
        <is>
          <t>수령 후 사용 가능</t>
        </is>
      </c>
      <c r="AC57" s="2" t="inlineStr">
        <is>
          <t>Y</t>
        </is>
      </c>
      <c r="AD57" s="2" t="inlineStr"/>
      <c r="AE57" s="2" t="inlineStr">
        <is>
          <t>2026-09-30T04:41:38</t>
        </is>
      </c>
    </row>
    <row r="58">
      <c r="A58" s="2" t="inlineStr">
        <is>
          <t>328292</t>
        </is>
      </c>
      <c r="B58" s="2" t="inlineStr">
        <is>
          <t>워터파크</t>
        </is>
      </c>
      <c r="C58" s="2" t="inlineStr">
        <is>
          <t>워터파크</t>
        </is>
      </c>
      <c r="D58" s="2" t="inlineStr">
        <is>
          <t>부산</t>
        </is>
      </c>
      <c r="E58" s="2" t="inlineStr">
        <is>
          <t>영남</t>
        </is>
      </c>
      <c r="F58" s="2" t="inlineStr">
        <is>
          <t>부산</t>
        </is>
      </c>
      <c r="G58" s="2" t="inlineStr">
        <is>
          <t>센텀 스파랜드</t>
        </is>
      </c>
      <c r="H58" s="2" t="inlineStr">
        <is>
          <t>품격 있는 힐링공간에서 즐기는 다양한 스파</t>
        </is>
      </c>
      <c r="I58" s="2" t="n">
        <v>26000</v>
      </c>
      <c r="J58" s="2" t="n">
        <v>20500</v>
      </c>
      <c r="K58" s="2" t="n">
        <v>21</v>
      </c>
      <c r="L58" s="2" t="inlineStr">
        <is>
          <t>4시간이용권 센텀스파랜드(~10/29)</t>
        </is>
      </c>
      <c r="M58" s="2" t="n">
        <v>1</v>
      </c>
      <c r="N58" s="2" t="inlineStr">
        <is>
          <t>2026-07-01</t>
        </is>
      </c>
      <c r="O58" s="2" t="inlineStr">
        <is>
          <t>2026-10-29</t>
        </is>
      </c>
      <c r="P58" s="2" t="inlineStr"/>
      <c r="Q58" s="2" t="inlineStr">
        <is>
          <t>모바일티켓;수령 후 사용 가능</t>
        </is>
      </c>
      <c r="R58" s="2" t="inlineStr">
        <is>
          <t>수령후사용</t>
        </is>
      </c>
      <c r="S58" s="2" t="inlineStr"/>
      <c r="T58" s="2" t="inlineStr">
        <is>
          <t>LMS 문자/순차 발송</t>
        </is>
      </c>
      <c r="U58" s="2" t="inlineStr">
        <is>
          <t>매표소 교환 / 바로 입장 | 모바일 이용권 현장 매표소 제시 후 이용 가능(재발송 가능 상품)</t>
        </is>
      </c>
      <c r="V58" s="2" t="n">
        <v>20</v>
      </c>
      <c r="W58" s="2" t="inlineStr">
        <is>
          <t>기한: 수령 후 7일 이내 | 수수료: 발송·취소 장당 1,000원 | 불가: 부분취소, 기간경과 | 접수: 유선</t>
        </is>
      </c>
      <c r="X58" s="2" t="inlineStr">
        <is>
          <t>센텀 스파랜드</t>
        </is>
      </c>
      <c r="Y58" s="2" t="inlineStr">
        <is>
          <t>부산 해운대구 센텀남대로 35 신세계백화점센텀시티점</t>
        </is>
      </c>
      <c r="Z58" s="2" t="inlineStr">
        <is>
          <t>1668-2850</t>
        </is>
      </c>
      <c r="AA58" s="2" t="inlineStr">
        <is>
          <t>https://www.shinsegae.com/store/entertainment/centum-spaland.do?storeCd=SC00008</t>
        </is>
      </c>
      <c r="AB58" s="2" t="inlineStr">
        <is>
          <t>수령 후 사용 가능</t>
        </is>
      </c>
      <c r="AC58" s="2" t="inlineStr">
        <is>
          <t>Y</t>
        </is>
      </c>
      <c r="AD58" s="2" t="inlineStr"/>
      <c r="AE58" s="2" t="inlineStr">
        <is>
          <t>2026-09-30T04:41:40</t>
        </is>
      </c>
    </row>
    <row r="59">
      <c r="A59" s="2" t="inlineStr">
        <is>
          <t>328481</t>
        </is>
      </c>
      <c r="B59" s="2" t="inlineStr">
        <is>
          <t>숙박</t>
        </is>
      </c>
      <c r="C59" s="2" t="inlineStr">
        <is>
          <t>숙박</t>
        </is>
      </c>
      <c r="D59" s="2" t="inlineStr">
        <is>
          <t>충남</t>
        </is>
      </c>
      <c r="E59" s="2" t="inlineStr">
        <is>
          <t>충청</t>
        </is>
      </c>
      <c r="F59" s="2" t="inlineStr">
        <is>
          <t>아산</t>
        </is>
      </c>
      <c r="G59" s="2" t="inlineStr">
        <is>
          <t>파라다이스 스파도고 캐빈파크</t>
        </is>
      </c>
      <c r="H59" s="2" t="inlineStr">
        <is>
          <t>낭만이 가득한 캠핑, 캐빈파크에서의 하룻밤!</t>
        </is>
      </c>
      <c r="I59" s="2" t="n">
        <v>160000</v>
      </c>
      <c r="J59" s="2" t="n">
        <v>156000</v>
      </c>
      <c r="K59" s="2" t="n">
        <v>3</v>
      </c>
      <c r="L59" s="2" t="inlineStr">
        <is>
          <t>디럭스 주중 하반기 로우시즌 ROOM ONLY 파라다이스스파도고캐빈파크</t>
        </is>
      </c>
      <c r="M59" s="2" t="n">
        <v>8</v>
      </c>
      <c r="N59" s="2" t="inlineStr">
        <is>
          <t>구매일</t>
        </is>
      </c>
      <c r="O59" s="2" t="inlineStr">
        <is>
          <t>2026-10-31</t>
        </is>
      </c>
      <c r="P59" s="2" t="inlineStr"/>
      <c r="Q59" s="2" t="inlineStr">
        <is>
          <t>모바일티켓;예약필수</t>
        </is>
      </c>
      <c r="R59" s="2" t="inlineStr">
        <is>
          <t>예약대기</t>
        </is>
      </c>
      <c r="S59" s="2" t="inlineStr"/>
      <c r="T59" s="2" t="inlineStr">
        <is>
          <t>LMS 문자</t>
        </is>
      </c>
      <c r="U59" s="2" t="inlineStr">
        <is>
          <t>전화 예약 | 사전예약 후 방문</t>
        </is>
      </c>
      <c r="V59" s="2" t="n">
        <v>100</v>
      </c>
      <c r="W59" s="2" t="inlineStr">
        <is>
          <t>수수료: D-3 기본수수료, D-2 10%, D-1 50% | 불가: 당일·노쇼 | 접수: 유선</t>
        </is>
      </c>
      <c r="X59" s="2" t="inlineStr">
        <is>
          <t>파라다이스 스파도고</t>
        </is>
      </c>
      <c r="Y59" s="2" t="inlineStr">
        <is>
          <t>충청남도 아산시 도고면 도고온천로 176</t>
        </is>
      </c>
      <c r="Z59" s="2" t="inlineStr">
        <is>
          <t>041-537-7100</t>
        </is>
      </c>
      <c r="AA59" s="2" t="inlineStr">
        <is>
          <t>http://www.paradisespa.co.kr/</t>
        </is>
      </c>
      <c r="AB59" s="2" t="inlineStr">
        <is>
          <t>예약필수</t>
        </is>
      </c>
      <c r="AC59" s="2" t="inlineStr">
        <is>
          <t>Y</t>
        </is>
      </c>
      <c r="AD59" s="2" t="inlineStr"/>
      <c r="AE59" s="2" t="inlineStr">
        <is>
          <t>2026-09-30T04:41:43</t>
        </is>
      </c>
    </row>
    <row r="60">
      <c r="A60" s="2" t="inlineStr">
        <is>
          <t>328799</t>
        </is>
      </c>
      <c r="B60" s="2" t="inlineStr">
        <is>
          <t>테마파크</t>
        </is>
      </c>
      <c r="C60" s="2" t="inlineStr">
        <is>
          <t>테마파크</t>
        </is>
      </c>
      <c r="D60" s="2" t="inlineStr">
        <is>
          <t>세종</t>
        </is>
      </c>
      <c r="E60" s="2" t="inlineStr">
        <is>
          <t>충청</t>
        </is>
      </c>
      <c r="F60" s="2" t="inlineStr">
        <is>
          <t>세종</t>
        </is>
      </c>
      <c r="G60" s="2" t="inlineStr">
        <is>
          <t>세종공룡월드</t>
        </is>
      </c>
      <c r="H60" s="2" t="inlineStr">
        <is>
          <t>시간 제한도 외출 제한도 없는 무제한 공룡 테마파크</t>
        </is>
      </c>
      <c r="I60" s="2" t="n">
        <v>18000</v>
      </c>
      <c r="J60" s="2" t="n">
        <v>14400</v>
      </c>
      <c r="K60" s="2" t="n">
        <v>20</v>
      </c>
      <c r="L60" s="2" t="inlineStr">
        <is>
          <t>주중종일권 세종공룡월드(~10/11)</t>
        </is>
      </c>
      <c r="M60" s="2" t="n">
        <v>2</v>
      </c>
      <c r="N60" s="2" t="inlineStr">
        <is>
          <t>구매일</t>
        </is>
      </c>
      <c r="O60" s="2" t="inlineStr">
        <is>
          <t>2026-10-11</t>
        </is>
      </c>
      <c r="P60" s="2" t="inlineStr"/>
      <c r="Q60" s="2" t="inlineStr">
        <is>
          <t>모바일티켓;바로 사용가능</t>
        </is>
      </c>
      <c r="R60" s="2" t="inlineStr">
        <is>
          <t>즉시발송</t>
        </is>
      </c>
      <c r="S60" s="2" t="inlineStr">
        <is>
          <t>엘에스컴퍼니</t>
        </is>
      </c>
      <c r="T60" s="2" t="inlineStr">
        <is>
          <t>알림톡</t>
        </is>
      </c>
      <c r="U60" s="2" t="inlineStr">
        <is>
          <t>매표소 교환 / 바로 입장 | 모바일 이용권 현장 매표소 제시 후 이용 가능(재발송 가능 상품)</t>
        </is>
      </c>
      <c r="V60" s="2" t="n">
        <v>20</v>
      </c>
      <c r="W60" s="2" t="inlineStr">
        <is>
          <t>기한: 수령 후 7일 이내 | 수수료: 발송·취소 장당 1,000원 | 불가: 부분취소, 기간경과 | 접수: 유선(주중)</t>
        </is>
      </c>
      <c r="X60" s="2" t="inlineStr">
        <is>
          <t>세종 공룡월드</t>
        </is>
      </c>
      <c r="Y60" s="2" t="inlineStr">
        <is>
          <t>세종 국세청로 32 마크원에비뉴 A501호</t>
        </is>
      </c>
      <c r="Z60" s="2" t="inlineStr">
        <is>
          <t>044-864-0935</t>
        </is>
      </c>
      <c r="AA60" s="2" t="inlineStr">
        <is>
          <t>https://www.instagram.com/sejong_dino/=</t>
        </is>
      </c>
      <c r="AB60" s="2" t="inlineStr">
        <is>
          <t>바로 사용가능</t>
        </is>
      </c>
      <c r="AC60" s="2" t="inlineStr">
        <is>
          <t>Y</t>
        </is>
      </c>
      <c r="AD60" s="2" t="inlineStr"/>
      <c r="AE60" s="2" t="inlineStr">
        <is>
          <t>2026-09-30T04:41:45</t>
        </is>
      </c>
    </row>
    <row r="61">
      <c r="A61" s="2" t="inlineStr">
        <is>
          <t>329686</t>
        </is>
      </c>
      <c r="B61" s="2" t="inlineStr">
        <is>
          <t>테마파크</t>
        </is>
      </c>
      <c r="C61" s="2" t="inlineStr">
        <is>
          <t>테마파크</t>
        </is>
      </c>
      <c r="D61" s="2" t="inlineStr">
        <is>
          <t>경기</t>
        </is>
      </c>
      <c r="E61" s="2" t="inlineStr">
        <is>
          <t>수도권</t>
        </is>
      </c>
      <c r="F61" s="2" t="inlineStr">
        <is>
          <t>시흥</t>
        </is>
      </c>
      <c r="G61" s="2" t="inlineStr">
        <is>
          <t>시흥공룡월드</t>
        </is>
      </c>
      <c r="H61" s="2" t="inlineStr">
        <is>
          <t>시흥 공룡월드&amp;키즈카페에서 볼거리, 즐길거리 가득 !</t>
        </is>
      </c>
      <c r="I61" s="2" t="n">
        <v>25000</v>
      </c>
      <c r="J61" s="2" t="n">
        <v>19800</v>
      </c>
      <c r="K61" s="2" t="n">
        <v>21</v>
      </c>
      <c r="L61" s="2" t="inlineStr">
        <is>
          <t>주중 종일권 시흥공룡월드(~12/31)</t>
        </is>
      </c>
      <c r="M61" s="2" t="n">
        <v>2</v>
      </c>
      <c r="N61" s="2" t="inlineStr">
        <is>
          <t>구매일</t>
        </is>
      </c>
      <c r="O61" s="2" t="inlineStr">
        <is>
          <t>2026-12-31</t>
        </is>
      </c>
      <c r="P61" s="2" t="inlineStr"/>
      <c r="Q61" s="2" t="inlineStr">
        <is>
          <t>모바일티켓;바로 사용가능</t>
        </is>
      </c>
      <c r="R61" s="2" t="inlineStr">
        <is>
          <t>즉시발송</t>
        </is>
      </c>
      <c r="S61" s="2" t="inlineStr">
        <is>
          <t>엘에스컴퍼니</t>
        </is>
      </c>
      <c r="T61" s="2" t="inlineStr">
        <is>
          <t>알림톡</t>
        </is>
      </c>
      <c r="U61" s="2" t="inlineStr">
        <is>
          <t>매표소 교환 / 바로 입장 | 모바일 이용권 현장 매표소 제시 후 이용 가능(재발송 가능 상품)</t>
        </is>
      </c>
      <c r="V61" s="2" t="n">
        <v>20</v>
      </c>
      <c r="W61" s="2" t="inlineStr">
        <is>
          <t>기한: 수령 후 7일 이내 | 수수료: 발송·취소 장당 1,000원 | 불가: 부분취소, 기간경과 | 접수: 유선(주중)</t>
        </is>
      </c>
      <c r="X61" s="2" t="inlineStr">
        <is>
          <t>시흥공룡월드</t>
        </is>
      </c>
      <c r="Y61" s="2" t="inlineStr">
        <is>
          <t>경기 시흥시 은계호수로 49 지하1층 비077-1호,비077-2호</t>
        </is>
      </c>
      <c r="Z61" s="2" t="inlineStr">
        <is>
          <t>031-314-0101</t>
        </is>
      </c>
      <c r="AA61" s="2" t="inlineStr">
        <is>
          <t>https://www.instagram.com/siheung_dinoworld/?igsh=cm4zeWprMjNqaG9u&amp;utm_source=qr/</t>
        </is>
      </c>
      <c r="AB61" s="2" t="inlineStr">
        <is>
          <t>바로 사용가능</t>
        </is>
      </c>
      <c r="AC61" s="2" t="inlineStr">
        <is>
          <t>Y</t>
        </is>
      </c>
      <c r="AD61" s="2" t="inlineStr"/>
      <c r="AE61" s="2" t="inlineStr">
        <is>
          <t>2026-09-30T04:41:48</t>
        </is>
      </c>
    </row>
    <row r="62">
      <c r="A62" s="2" t="inlineStr">
        <is>
          <t>329749</t>
        </is>
      </c>
      <c r="B62" s="2" t="inlineStr">
        <is>
          <t>테마파크</t>
        </is>
      </c>
      <c r="C62" s="2" t="inlineStr">
        <is>
          <t>테마파크</t>
        </is>
      </c>
      <c r="D62" s="2" t="inlineStr">
        <is>
          <t>충남</t>
        </is>
      </c>
      <c r="E62" s="2" t="inlineStr">
        <is>
          <t>충청</t>
        </is>
      </c>
      <c r="F62" s="2" t="inlineStr">
        <is>
          <t>아산</t>
        </is>
      </c>
      <c r="G62" s="2" t="inlineStr">
        <is>
          <t>아산공룡월드</t>
        </is>
      </c>
      <c r="H62" s="2" t="inlineStr">
        <is>
          <t>다양한 쇼와 공룡을 함께 즐기는 아산 공룡월드!</t>
        </is>
      </c>
      <c r="I62" s="2" t="n">
        <v>20000</v>
      </c>
      <c r="J62" s="2" t="n">
        <v>16200</v>
      </c>
      <c r="K62" s="2" t="n">
        <v>19</v>
      </c>
      <c r="L62" s="2" t="inlineStr">
        <is>
          <t>주중·주말공통 종일권 아산공룡월드(~12/31)</t>
        </is>
      </c>
      <c r="M62" s="2" t="n">
        <v>1</v>
      </c>
      <c r="N62" s="2" t="inlineStr">
        <is>
          <t>구매일</t>
        </is>
      </c>
      <c r="O62" s="2" t="inlineStr">
        <is>
          <t>2026-12-31</t>
        </is>
      </c>
      <c r="P62" s="2" t="inlineStr"/>
      <c r="Q62" s="2" t="inlineStr">
        <is>
          <t>모바일티켓;바로 사용가능</t>
        </is>
      </c>
      <c r="R62" s="2" t="inlineStr">
        <is>
          <t>즉시발송</t>
        </is>
      </c>
      <c r="S62" s="2" t="inlineStr">
        <is>
          <t>엘에스컴퍼니</t>
        </is>
      </c>
      <c r="T62" s="2" t="inlineStr">
        <is>
          <t>알림톡</t>
        </is>
      </c>
      <c r="U62" s="2" t="inlineStr">
        <is>
          <t>매표소 교환 / 바로 입장 | 모바일 이용권 현장 매표소 제시 후 이용 가능(재발송 가능 상품)</t>
        </is>
      </c>
      <c r="V62" s="2" t="n">
        <v>20</v>
      </c>
      <c r="W62" s="2" t="inlineStr">
        <is>
          <t>기한: 수령 후 7일 이내 | 수수료: 발송·취소 장당 1,000원 | 불가: 부분취소, 기간경과 | 접수: 유선(주중)</t>
        </is>
      </c>
      <c r="X62" s="2" t="inlineStr">
        <is>
          <t>아산 공룡월드</t>
        </is>
      </c>
      <c r="Y62" s="2" t="inlineStr">
        <is>
          <t>충남 아산시 둔포면 해위안길 127</t>
        </is>
      </c>
      <c r="Z62" s="2" t="inlineStr">
        <is>
          <t>041-536-0635</t>
        </is>
      </c>
      <c r="AA62" s="2" t="inlineStr">
        <is>
          <t>http://www.1stvillage.com/web/asanworld/</t>
        </is>
      </c>
      <c r="AB62" s="2" t="inlineStr">
        <is>
          <t>바로 사용가능</t>
        </is>
      </c>
      <c r="AC62" s="2" t="inlineStr">
        <is>
          <t>Y</t>
        </is>
      </c>
      <c r="AD62" s="2" t="inlineStr"/>
      <c r="AE62" s="2" t="inlineStr">
        <is>
          <t>2026-09-30T04:41:50</t>
        </is>
      </c>
    </row>
    <row r="63">
      <c r="A63" s="2" t="inlineStr">
        <is>
          <t>330064</t>
        </is>
      </c>
      <c r="B63" s="2" t="inlineStr">
        <is>
          <t>테마파크</t>
        </is>
      </c>
      <c r="C63" s="2" t="inlineStr">
        <is>
          <t>테마파크</t>
        </is>
      </c>
      <c r="D63" s="2" t="inlineStr">
        <is>
          <t>경기</t>
        </is>
      </c>
      <c r="E63" s="2" t="inlineStr">
        <is>
          <t>수도권</t>
        </is>
      </c>
      <c r="F63" s="2" t="inlineStr">
        <is>
          <t>용인</t>
        </is>
      </c>
      <c r="G63" s="2" t="inlineStr">
        <is>
          <t>용인공룡월드</t>
        </is>
      </c>
      <c r="H63" s="2" t="inlineStr">
        <is>
          <t>꿈과 상상력을 만드는 용인 대형 키즈카페!</t>
        </is>
      </c>
      <c r="I63" s="2" t="n">
        <v>22000</v>
      </c>
      <c r="J63" s="2" t="n">
        <v>18000</v>
      </c>
      <c r="K63" s="2" t="n">
        <v>18</v>
      </c>
      <c r="L63" s="2" t="inlineStr">
        <is>
          <t>주중종일권 용인공룡월드(~12/31)</t>
        </is>
      </c>
      <c r="M63" s="2" t="n">
        <v>2</v>
      </c>
      <c r="N63" s="2" t="inlineStr">
        <is>
          <t>구매일</t>
        </is>
      </c>
      <c r="O63" s="2" t="inlineStr">
        <is>
          <t>2026-12-31</t>
        </is>
      </c>
      <c r="P63" s="2" t="inlineStr"/>
      <c r="Q63" s="2" t="inlineStr">
        <is>
          <t>모바일티켓;바로 사용가능</t>
        </is>
      </c>
      <c r="R63" s="2" t="inlineStr">
        <is>
          <t>즉시발송</t>
        </is>
      </c>
      <c r="S63" s="2" t="inlineStr">
        <is>
          <t>엘에스컴퍼니</t>
        </is>
      </c>
      <c r="T63" s="2" t="inlineStr">
        <is>
          <t>알림톡</t>
        </is>
      </c>
      <c r="U63" s="2" t="inlineStr">
        <is>
          <t>매표소 교환 / 바로 입장 | 모바일 이용권 현장 매표소 제시 후 이용 가능(재발송 가능 상품)</t>
        </is>
      </c>
      <c r="V63" s="2" t="n">
        <v>20</v>
      </c>
      <c r="W63" s="2" t="inlineStr">
        <is>
          <t>기한: 수령 후 7일 이내 | 수수료: 발송·취소 장당 1,000원 | 불가: 부분취소, 기간경과 | 접수: 유선(주중)</t>
        </is>
      </c>
      <c r="X63" s="2" t="inlineStr">
        <is>
          <t>용인 공룡월드</t>
        </is>
      </c>
      <c r="Y63" s="2" t="inlineStr">
        <is>
          <t>경기 용인시 처인구 중부대로 1294 4층호</t>
        </is>
      </c>
      <c r="Z63" s="2" t="inlineStr">
        <is>
          <t>031-338-3100</t>
        </is>
      </c>
      <c r="AA63" s="2" t="inlineStr">
        <is>
          <t>https://www.instagram.com/yongin_dinoworld/</t>
        </is>
      </c>
      <c r="AB63" s="2" t="inlineStr">
        <is>
          <t>바로 사용가능</t>
        </is>
      </c>
      <c r="AC63" s="2" t="inlineStr">
        <is>
          <t>Y</t>
        </is>
      </c>
      <c r="AD63" s="2" t="inlineStr"/>
      <c r="AE63" s="2" t="inlineStr">
        <is>
          <t>2026-09-30T04:41:53</t>
        </is>
      </c>
    </row>
    <row r="64">
      <c r="A64" s="2" t="inlineStr">
        <is>
          <t>329875</t>
        </is>
      </c>
      <c r="B64" s="2" t="inlineStr">
        <is>
          <t>테마파크</t>
        </is>
      </c>
      <c r="C64" s="2" t="inlineStr">
        <is>
          <t>테마파크</t>
        </is>
      </c>
      <c r="D64" s="2" t="inlineStr">
        <is>
          <t>경기</t>
        </is>
      </c>
      <c r="E64" s="2" t="inlineStr">
        <is>
          <t>수도권</t>
        </is>
      </c>
      <c r="F64" s="2" t="inlineStr">
        <is>
          <t>동탄</t>
        </is>
      </c>
      <c r="G64" s="2" t="inlineStr">
        <is>
          <t>동탄공룡월드</t>
        </is>
      </c>
      <c r="H64" s="2" t="inlineStr">
        <is>
          <t>동탄공룡월드 볼거리, 즐길거리 가득 ! 꿈과 상상력을 만드는곳!</t>
        </is>
      </c>
      <c r="I64" s="2" t="n">
        <v>12000</v>
      </c>
      <c r="J64" s="2" t="n">
        <v>8700</v>
      </c>
      <c r="K64" s="2" t="n">
        <v>28</v>
      </c>
      <c r="L64" s="2" t="inlineStr">
        <is>
          <t>주중 종일대인권 동탄공룡월드(~12/31)</t>
        </is>
      </c>
      <c r="M64" s="2" t="n">
        <v>4</v>
      </c>
      <c r="N64" s="2" t="inlineStr">
        <is>
          <t>구매일</t>
        </is>
      </c>
      <c r="O64" s="2" t="inlineStr">
        <is>
          <t>2026-12-31</t>
        </is>
      </c>
      <c r="P64" s="2" t="inlineStr"/>
      <c r="Q64" s="2" t="inlineStr">
        <is>
          <t>모바일티켓;바로 사용가능</t>
        </is>
      </c>
      <c r="R64" s="2" t="inlineStr">
        <is>
          <t>즉시발송</t>
        </is>
      </c>
      <c r="S64" s="2" t="inlineStr">
        <is>
          <t>엘에스컴퍼니</t>
        </is>
      </c>
      <c r="T64" s="2" t="inlineStr">
        <is>
          <t>알림톡</t>
        </is>
      </c>
      <c r="U64" s="2" t="inlineStr">
        <is>
          <t>매표소 교환 / 바로 입장 | 모바일 이용권 현장 매표소 제시 후 이용 가능(재발송 가능 상품)</t>
        </is>
      </c>
      <c r="V64" s="2" t="n">
        <v>20</v>
      </c>
      <c r="W64" s="2" t="inlineStr">
        <is>
          <t>기한: 수령 후 7일 이내 | 수수료: 발송·취소 장당 1,000원 | 불가: 부분취소, 기간경과 | 접수: 유선(주중)</t>
        </is>
      </c>
      <c r="X64" s="2" t="inlineStr">
        <is>
          <t>동탄 공룡월드</t>
        </is>
      </c>
      <c r="Y64" s="2" t="inlineStr">
        <is>
          <t>경기 화성시 동탄순환대로27길 30 가동 2층</t>
        </is>
      </c>
      <c r="Z64" s="2" t="inlineStr">
        <is>
          <t>031-377-3123</t>
        </is>
      </c>
      <c r="AA64" s="2" t="inlineStr">
        <is>
          <t>https://map.naver.com/p/search/%EA%B3%B5%EB%A3%A1%EC%9B%94%EB%93%9C/place/2057427221?placePath=/home?entry=pll&amp;from=map&amp;fromNxList=true&amp;fromPanelNum=2&amp;timestamp=202511061155&amp;locale=ko&amp;svcName=map_pcv5&amp;searchText=%EA%B3%B5%EB%A3%A1%EC%9B%94%EB%93%9C&amp;searchType=place/</t>
        </is>
      </c>
      <c r="AB64" s="2" t="inlineStr">
        <is>
          <t>바로 사용가능</t>
        </is>
      </c>
      <c r="AC64" s="2" t="inlineStr">
        <is>
          <t>Y</t>
        </is>
      </c>
      <c r="AD64" s="2" t="inlineStr"/>
      <c r="AE64" s="2" t="inlineStr">
        <is>
          <t>2026-09-30T04:41:55</t>
        </is>
      </c>
    </row>
    <row r="65">
      <c r="A65" s="2" t="inlineStr">
        <is>
          <t>329812</t>
        </is>
      </c>
      <c r="B65" s="2" t="inlineStr">
        <is>
          <t>테마파크</t>
        </is>
      </c>
      <c r="C65" s="2" t="inlineStr">
        <is>
          <t>테마파크</t>
        </is>
      </c>
      <c r="D65" s="2" t="inlineStr">
        <is>
          <t>인천</t>
        </is>
      </c>
      <c r="E65" s="2" t="inlineStr">
        <is>
          <t>수도권</t>
        </is>
      </c>
      <c r="F65" s="2" t="inlineStr">
        <is>
          <t>인천</t>
        </is>
      </c>
      <c r="G65" s="2" t="inlineStr">
        <is>
          <t>인천공룡월드</t>
        </is>
      </c>
      <c r="H65" s="2" t="inlineStr">
        <is>
          <t>아이와 함께 가볼만한 곳으로 입소문이 자자한 인천대형키즈카페!</t>
        </is>
      </c>
      <c r="I65" s="2" t="n">
        <v>22000</v>
      </c>
      <c r="J65" s="2" t="n">
        <v>18000</v>
      </c>
      <c r="K65" s="2" t="n">
        <v>18</v>
      </c>
      <c r="L65" s="2" t="inlineStr">
        <is>
          <t>주중종일권 인천공룡월드(~12/31)</t>
        </is>
      </c>
      <c r="M65" s="2" t="n">
        <v>2</v>
      </c>
      <c r="N65" s="2" t="inlineStr">
        <is>
          <t>구매일</t>
        </is>
      </c>
      <c r="O65" s="2" t="inlineStr">
        <is>
          <t>2026-12-31</t>
        </is>
      </c>
      <c r="P65" s="2" t="inlineStr"/>
      <c r="Q65" s="2" t="inlineStr">
        <is>
          <t>모바일티켓;바로 사용가능</t>
        </is>
      </c>
      <c r="R65" s="2" t="inlineStr">
        <is>
          <t>즉시발송</t>
        </is>
      </c>
      <c r="S65" s="2" t="inlineStr">
        <is>
          <t>엘에스컴퍼니</t>
        </is>
      </c>
      <c r="T65" s="2" t="inlineStr">
        <is>
          <t>알림톡</t>
        </is>
      </c>
      <c r="U65" s="2" t="inlineStr">
        <is>
          <t>매표소 교환 / 바로 입장 | 모바일 이용권 현장 매표소 제시 후 이용 가능(재발송 가능 상품)</t>
        </is>
      </c>
      <c r="V65" s="2" t="n">
        <v>20</v>
      </c>
      <c r="W65" s="2" t="inlineStr">
        <is>
          <t>기한: 수령 후 7일 이내 | 수수료: 발송·취소 장당 1,000원 | 불가: 부분취소, 기간경과 | 접수: 유선(주중)</t>
        </is>
      </c>
      <c r="X65" s="2" t="inlineStr">
        <is>
          <t>인천 공룡월드</t>
        </is>
      </c>
      <c r="Y65" s="2" t="inlineStr">
        <is>
          <t>인천 연수구 첨단대로 104 연구동 3층</t>
        </is>
      </c>
      <c r="Z65" s="2" t="inlineStr">
        <is>
          <t>032-811-2200</t>
        </is>
      </c>
      <c r="AA65" s="2" t="inlineStr">
        <is>
          <t>https://www.instagram.com/incheon_dinoworld/</t>
        </is>
      </c>
      <c r="AB65" s="2" t="inlineStr">
        <is>
          <t>바로 사용가능</t>
        </is>
      </c>
      <c r="AC65" s="2" t="inlineStr">
        <is>
          <t>Y</t>
        </is>
      </c>
      <c r="AD65" s="2" t="inlineStr"/>
      <c r="AE65" s="2" t="inlineStr">
        <is>
          <t>2026-09-30T04:41:58</t>
        </is>
      </c>
    </row>
    <row r="66">
      <c r="A66" s="2" t="inlineStr">
        <is>
          <t>327662</t>
        </is>
      </c>
      <c r="B66" s="2" t="inlineStr">
        <is>
          <t>테마파크</t>
        </is>
      </c>
      <c r="C66" s="2" t="inlineStr">
        <is>
          <t>테마파크</t>
        </is>
      </c>
      <c r="D66" s="2" t="inlineStr">
        <is>
          <t>충남</t>
        </is>
      </c>
      <c r="E66" s="2" t="inlineStr">
        <is>
          <t>충청</t>
        </is>
      </c>
      <c r="F66" s="2" t="inlineStr">
        <is>
          <t>천안</t>
        </is>
      </c>
      <c r="G66" s="2" t="inlineStr">
        <is>
          <t>천안 공룡월드&amp;키즈카페</t>
        </is>
      </c>
      <c r="H66" s="2" t="inlineStr">
        <is>
          <t>천안 아이와 함께 가볼만한곳!</t>
        </is>
      </c>
      <c r="I66" s="2" t="n">
        <v>23000</v>
      </c>
      <c r="J66" s="2" t="n">
        <v>17900</v>
      </c>
      <c r="K66" s="2" t="n">
        <v>22</v>
      </c>
      <c r="L66" s="2" t="inlineStr">
        <is>
          <t>주중 종일권 천안공룡월드(~10/31)</t>
        </is>
      </c>
      <c r="M66" s="2" t="n">
        <v>2</v>
      </c>
      <c r="N66" s="2" t="inlineStr">
        <is>
          <t>구매일</t>
        </is>
      </c>
      <c r="O66" s="2" t="inlineStr">
        <is>
          <t>2026-10-31</t>
        </is>
      </c>
      <c r="P66" s="2" t="inlineStr"/>
      <c r="Q66" s="2" t="inlineStr">
        <is>
          <t>모바일티켓;바로 사용가능</t>
        </is>
      </c>
      <c r="R66" s="2" t="inlineStr">
        <is>
          <t>즉시발송</t>
        </is>
      </c>
      <c r="S66" s="2" t="inlineStr">
        <is>
          <t>엘에스컴퍼니</t>
        </is>
      </c>
      <c r="T66" s="2" t="inlineStr">
        <is>
          <t>알림톡</t>
        </is>
      </c>
      <c r="U66" s="2" t="inlineStr">
        <is>
          <t>매표소 교환 / 바로 입장 | 모바일 이용권 현장 매표소 제시 후 이용 가능(재발송 가능 상품)</t>
        </is>
      </c>
      <c r="V66" s="2" t="n">
        <v>20</v>
      </c>
      <c r="W66" s="2" t="inlineStr">
        <is>
          <t>기한: 수령 후 7일 이내 | 수수료: 발송·취소 장당 1,000원 | 불가: 부분취소, 기간경과 | 접수: 유선(주중)</t>
        </is>
      </c>
      <c r="X66" s="2" t="inlineStr">
        <is>
          <t>천안 공룡월드</t>
        </is>
      </c>
      <c r="Y66" s="2" t="inlineStr">
        <is>
          <t>충남 천안시 동남구 청수11로 35 9층</t>
        </is>
      </c>
      <c r="Z66" s="2" t="inlineStr">
        <is>
          <t>041-522-7890</t>
        </is>
      </c>
      <c r="AA66" s="2" t="inlineStr"/>
      <c r="AB66" s="2" t="inlineStr">
        <is>
          <t>바로 사용가능</t>
        </is>
      </c>
      <c r="AC66" s="2" t="inlineStr">
        <is>
          <t>Y</t>
        </is>
      </c>
      <c r="AD66" s="2" t="inlineStr"/>
      <c r="AE66" s="2" t="inlineStr">
        <is>
          <t>2026-09-30T04:42:00</t>
        </is>
      </c>
    </row>
    <row r="67">
      <c r="A67" s="2" t="inlineStr">
        <is>
          <t>329623</t>
        </is>
      </c>
      <c r="B67" s="2" t="inlineStr">
        <is>
          <t>테마파크</t>
        </is>
      </c>
      <c r="C67" s="2" t="inlineStr">
        <is>
          <t>테마파크</t>
        </is>
      </c>
      <c r="D67" s="2" t="inlineStr">
        <is>
          <t>전국</t>
        </is>
      </c>
      <c r="E67" s="2" t="inlineStr">
        <is>
          <t>전국</t>
        </is>
      </c>
      <c r="F67" s="2" t="inlineStr">
        <is>
          <t>전국</t>
        </is>
      </c>
      <c r="G67" s="2" t="inlineStr">
        <is>
          <t>히어로 플레이파크</t>
        </is>
      </c>
      <c r="H67" s="2" t="inlineStr">
        <is>
          <t>국내 최초 가족형 실내 놀이공원,미국식 초대형 테마파크!</t>
        </is>
      </c>
      <c r="I67" s="2" t="n">
        <v>30000</v>
      </c>
      <c r="J67" s="2" t="n">
        <v>21600</v>
      </c>
      <c r="K67" s="2" t="n">
        <v>28</v>
      </c>
      <c r="L67" s="2" t="inlineStr">
        <is>
          <t>대구점 반일 소인권 히어로플레이파크(5시간)(~10/31)</t>
        </is>
      </c>
      <c r="M67" s="2" t="n">
        <v>20</v>
      </c>
      <c r="N67" s="2" t="inlineStr">
        <is>
          <t>구매일</t>
        </is>
      </c>
      <c r="O67" s="2" t="inlineStr">
        <is>
          <t>2026-10-31</t>
        </is>
      </c>
      <c r="P67" s="2" t="inlineStr"/>
      <c r="Q67" s="2" t="inlineStr">
        <is>
          <t>모바일티켓;바로 사용가능</t>
        </is>
      </c>
      <c r="R67" s="2" t="inlineStr">
        <is>
          <t>즉시발송</t>
        </is>
      </c>
      <c r="S67" s="2" t="inlineStr">
        <is>
          <t>엘에스컴퍼니</t>
        </is>
      </c>
      <c r="T67" s="2" t="inlineStr">
        <is>
          <t>알림톡</t>
        </is>
      </c>
      <c r="U67" s="2" t="inlineStr">
        <is>
          <t>매표소 교환 / 바로 입장 | 모바일 이용권 현장 매표소 제시 후 이용 가능(재발송 가능 상품)</t>
        </is>
      </c>
      <c r="V67" s="2" t="n">
        <v>10</v>
      </c>
      <c r="W67" s="2" t="inlineStr">
        <is>
          <t>기한: 수령 후 7일 이내 | 수수료: 발송·취소 장당 1,000원 | 불가: 부분취소, 기간경과 | 접수: 유선</t>
        </is>
      </c>
      <c r="X67" s="2" t="inlineStr">
        <is>
          <t>히어로 플레이파크</t>
        </is>
      </c>
      <c r="Y67" s="2" t="inlineStr">
        <is>
          <t>지점별 상이</t>
        </is>
      </c>
      <c r="Z67" s="2" t="inlineStr">
        <is>
          <t>지점별 상이</t>
        </is>
      </c>
      <c r="AA67" s="2" t="inlineStr">
        <is>
          <t>http://www.herokidspark.co.kr/#main/</t>
        </is>
      </c>
      <c r="AB67" s="2" t="inlineStr">
        <is>
          <t>바로 사용가능</t>
        </is>
      </c>
      <c r="AC67" s="2" t="inlineStr">
        <is>
          <t>Y</t>
        </is>
      </c>
      <c r="AD67" s="2" t="inlineStr"/>
      <c r="AE67" s="2" t="inlineStr">
        <is>
          <t>2026-09-30T04:42:03</t>
        </is>
      </c>
    </row>
    <row r="68">
      <c r="A68" s="2" t="inlineStr">
        <is>
          <t>329560</t>
        </is>
      </c>
      <c r="B68" s="2" t="inlineStr">
        <is>
          <t>테마파크</t>
        </is>
      </c>
      <c r="C68" s="2" t="inlineStr">
        <is>
          <t>테마파크</t>
        </is>
      </c>
      <c r="D68" s="2" t="inlineStr">
        <is>
          <t>전남</t>
        </is>
      </c>
      <c r="E68" s="2" t="inlineStr">
        <is>
          <t>호남</t>
        </is>
      </c>
      <c r="F68" s="2" t="inlineStr">
        <is>
          <t>여수</t>
        </is>
      </c>
      <c r="G68" s="2" t="inlineStr">
        <is>
          <t>녹테마레 위드미디어</t>
        </is>
      </c>
      <c r="H68" s="2" t="inlineStr">
        <is>
          <t>여수 가볼 만한 곳 중 색다른 실내 여행지를 찾고 있다면?</t>
        </is>
      </c>
      <c r="I68" s="2" t="n">
        <v>20000</v>
      </c>
      <c r="J68" s="2" t="n">
        <v>13900</v>
      </c>
      <c r="K68" s="2" t="n">
        <v>31</v>
      </c>
      <c r="L68" s="2" t="inlineStr">
        <is>
          <t>성인 이용권 녹테마레(~10/31)</t>
        </is>
      </c>
      <c r="M68" s="2" t="n">
        <v>3</v>
      </c>
      <c r="N68" s="2" t="inlineStr">
        <is>
          <t>구매일</t>
        </is>
      </c>
      <c r="O68" s="2" t="inlineStr">
        <is>
          <t>2026-10-31</t>
        </is>
      </c>
      <c r="P68" s="2" t="inlineStr"/>
      <c r="Q68" s="2" t="inlineStr">
        <is>
          <t>모바일티켓;바로 사용가능</t>
        </is>
      </c>
      <c r="R68" s="2" t="inlineStr">
        <is>
          <t>즉시발송</t>
        </is>
      </c>
      <c r="S68" s="2" t="inlineStr">
        <is>
          <t>엘에스컴퍼니</t>
        </is>
      </c>
      <c r="T68" s="2" t="inlineStr">
        <is>
          <t>알림톡</t>
        </is>
      </c>
      <c r="U68" s="2" t="inlineStr">
        <is>
          <t>매표소 교환 / 바로 입장 | 모바일 이용권 현장 매표소 제시 후 이용 가능(재발송 가능 상품)</t>
        </is>
      </c>
      <c r="V68" s="2" t="n">
        <v>20</v>
      </c>
      <c r="W68" s="2" t="inlineStr">
        <is>
          <t>기한: 수령 후 7일 이내 | 수수료: 발송·취소 장당 1,000원 | 불가: 부분취소, 기간경과 | 접수: 유선</t>
        </is>
      </c>
      <c r="X68" s="2" t="inlineStr">
        <is>
          <t>녹테마레 위드미디어</t>
        </is>
      </c>
      <c r="Y68" s="2" t="inlineStr">
        <is>
          <t>전남 여수시 만성로 294 녹테마레</t>
        </is>
      </c>
      <c r="Z68" s="2" t="inlineStr">
        <is>
          <t>0507-1407-7104</t>
        </is>
      </c>
      <c r="AA68" s="2" t="inlineStr">
        <is>
          <t>https://noctemare.com/</t>
        </is>
      </c>
      <c r="AB68" s="2" t="inlineStr">
        <is>
          <t>바로 사용가능</t>
        </is>
      </c>
      <c r="AC68" s="2" t="inlineStr">
        <is>
          <t>Y</t>
        </is>
      </c>
      <c r="AD68" s="2" t="inlineStr"/>
      <c r="AE68" s="2" t="inlineStr">
        <is>
          <t>2026-09-30T04:42:06</t>
        </is>
      </c>
    </row>
    <row r="69">
      <c r="A69" s="2" t="inlineStr">
        <is>
          <t>327977</t>
        </is>
      </c>
      <c r="B69" s="2" t="inlineStr">
        <is>
          <t>테마파크</t>
        </is>
      </c>
      <c r="C69" s="2" t="inlineStr">
        <is>
          <t>테마파크</t>
        </is>
      </c>
      <c r="D69" s="2" t="inlineStr">
        <is>
          <t>경북</t>
        </is>
      </c>
      <c r="E69" s="2" t="inlineStr">
        <is>
          <t>영남</t>
        </is>
      </c>
      <c r="F69" s="2" t="inlineStr">
        <is>
          <t>경주</t>
        </is>
      </c>
      <c r="G69" s="2" t="inlineStr">
        <is>
          <t>라원 미디어아트 복합문화정원</t>
        </is>
      </c>
      <c r="H69" s="2" t="inlineStr">
        <is>
          <t>라원, 빛으로 피어나는 정원</t>
        </is>
      </c>
      <c r="I69" s="2" t="n">
        <v>10000</v>
      </c>
      <c r="J69" s="2" t="n">
        <v>9000</v>
      </c>
      <c r="K69" s="2" t="n">
        <v>10</v>
      </c>
      <c r="L69" s="2" t="inlineStr">
        <is>
          <t>소인(초등학생) 이용권 라원 미디어아트(~10/31)</t>
        </is>
      </c>
      <c r="M69" s="2" t="n">
        <v>3</v>
      </c>
      <c r="N69" s="2" t="inlineStr">
        <is>
          <t>구매일</t>
        </is>
      </c>
      <c r="O69" s="2" t="inlineStr">
        <is>
          <t>2026-10-31</t>
        </is>
      </c>
      <c r="P69" s="2" t="inlineStr"/>
      <c r="Q69" s="2" t="inlineStr">
        <is>
          <t>모바일티켓;바로 사용가능</t>
        </is>
      </c>
      <c r="R69" s="2" t="inlineStr">
        <is>
          <t>즉시발송</t>
        </is>
      </c>
      <c r="S69" s="2" t="inlineStr">
        <is>
          <t>엘에스컴퍼니</t>
        </is>
      </c>
      <c r="T69" s="2" t="inlineStr">
        <is>
          <t>알림톡</t>
        </is>
      </c>
      <c r="U69" s="2" t="inlineStr">
        <is>
          <t>매표소 교환 / 바로 입장 | 모바일 이용권 현장 매표소 제시 후 이용 가능(재발송 가능 상품)</t>
        </is>
      </c>
      <c r="V69" s="2" t="n">
        <v>20</v>
      </c>
      <c r="W69" s="2" t="inlineStr">
        <is>
          <t>기한: 수령 후 7일 이내 | 수수료: 발송·취소 장당 1,000원 | 불가: 부분취소, 기간경과 | 접수: 유선(주중)</t>
        </is>
      </c>
      <c r="X69" s="2" t="inlineStr">
        <is>
          <t>라원 미디어아트 복합문화정원</t>
        </is>
      </c>
      <c r="Y69" s="2" t="inlineStr">
        <is>
          <t>경북 경주시 경감로 233</t>
        </is>
      </c>
      <c r="Z69" s="2" t="inlineStr">
        <is>
          <t>054-742-5505</t>
        </is>
      </c>
      <c r="AA69" s="2" t="inlineStr">
        <is>
          <t>https://www.gyeongju.go.kr/epg/</t>
        </is>
      </c>
      <c r="AB69" s="2" t="inlineStr">
        <is>
          <t>바로 사용가능</t>
        </is>
      </c>
      <c r="AC69" s="2" t="inlineStr">
        <is>
          <t>Y</t>
        </is>
      </c>
      <c r="AD69" s="2" t="inlineStr"/>
      <c r="AE69" s="2" t="inlineStr">
        <is>
          <t>2026-09-30T04:42:08</t>
        </is>
      </c>
    </row>
    <row r="70">
      <c r="A70" s="2" t="inlineStr">
        <is>
          <t>328925</t>
        </is>
      </c>
      <c r="B70" s="2" t="inlineStr">
        <is>
          <t>전시</t>
        </is>
      </c>
      <c r="C70" s="2" t="inlineStr">
        <is>
          <t>박물관</t>
        </is>
      </c>
      <c r="D70" s="2" t="inlineStr">
        <is>
          <t>서울</t>
        </is>
      </c>
      <c r="E70" s="2" t="inlineStr">
        <is>
          <t>수도권</t>
        </is>
      </c>
      <c r="F70" s="2" t="inlineStr">
        <is>
          <t>서울</t>
        </is>
      </c>
      <c r="G70" s="2" t="inlineStr">
        <is>
          <t>봉주르, 장자크 상페</t>
        </is>
      </c>
      <c r="H70" s="2" t="inlineStr">
        <is>
          <t>프랑스를 대표하는 거장 장자크 상페의 국내 최대 규모 특별전</t>
        </is>
      </c>
      <c r="I70" s="2" t="n">
        <v>25000</v>
      </c>
      <c r="J70" s="2" t="n">
        <v>11000</v>
      </c>
      <c r="K70" s="2" t="n">
        <v>56</v>
      </c>
      <c r="L70" s="2" t="inlineStr">
        <is>
          <t>소인 입장권 장자크 상페(~27/01/03)</t>
        </is>
      </c>
      <c r="M70" s="2" t="n">
        <v>3</v>
      </c>
      <c r="N70" s="2" t="inlineStr">
        <is>
          <t>구매일</t>
        </is>
      </c>
      <c r="O70" s="2" t="inlineStr">
        <is>
          <t>2027-01-03</t>
        </is>
      </c>
      <c r="P70" s="2" t="inlineStr"/>
      <c r="Q70" s="2" t="inlineStr">
        <is>
          <t>모바일티켓;바로 사용가능</t>
        </is>
      </c>
      <c r="R70" s="2" t="inlineStr">
        <is>
          <t>즉시발송</t>
        </is>
      </c>
      <c r="S70" s="2" t="inlineStr">
        <is>
          <t>엘에스컴퍼니</t>
        </is>
      </c>
      <c r="T70" s="2" t="inlineStr">
        <is>
          <t>알림톡</t>
        </is>
      </c>
      <c r="U70" s="2" t="inlineStr">
        <is>
          <t>매표소 교환 / 바로 입장 | 모바일 이용권 현장 매표소 제시 후 이용 가능(재발송 가능 상품)</t>
        </is>
      </c>
      <c r="V70" s="2" t="n">
        <v>20</v>
      </c>
      <c r="W70" s="2" t="inlineStr">
        <is>
          <t>기한: 수령 후 7일 이내 | 수수료: 발송·취소 장당 1,000원 | 불가: 부분취소, 기간경과 | 접수: 유선(주중)</t>
        </is>
      </c>
      <c r="X70" s="2" t="inlineStr">
        <is>
          <t>마이아트뮤지엄 원그로브점</t>
        </is>
      </c>
      <c r="Y70" s="2" t="inlineStr">
        <is>
          <t>서울 강서구 공항대로 165 원그로브 C동 2층 W213호</t>
        </is>
      </c>
      <c r="Z70" s="2" t="inlineStr">
        <is>
          <t>02-6106-0020</t>
        </is>
      </c>
      <c r="AA70" s="2" t="inlineStr"/>
      <c r="AB70" s="2" t="inlineStr">
        <is>
          <t>바로 사용가능</t>
        </is>
      </c>
      <c r="AC70" s="2" t="inlineStr">
        <is>
          <t>Y</t>
        </is>
      </c>
      <c r="AD70" s="2" t="inlineStr"/>
      <c r="AE70" s="2" t="inlineStr">
        <is>
          <t>2026-09-30T04:42:11</t>
        </is>
      </c>
    </row>
    <row r="71">
      <c r="A71" s="2" t="inlineStr">
        <is>
          <t>326528</t>
        </is>
      </c>
      <c r="B71" s="2" t="inlineStr">
        <is>
          <t>공연</t>
        </is>
      </c>
      <c r="C71" s="2" t="inlineStr">
        <is>
          <t>뮤지컬</t>
        </is>
      </c>
      <c r="D71" s="2" t="inlineStr">
        <is>
          <t>서울</t>
        </is>
      </c>
      <c r="E71" s="2" t="inlineStr">
        <is>
          <t>수도권</t>
        </is>
      </c>
      <c r="F71" s="2" t="inlineStr">
        <is>
          <t>서울</t>
        </is>
      </c>
      <c r="G71" s="2" t="inlineStr">
        <is>
          <t>페인터즈</t>
        </is>
      </c>
      <c r="H71" s="2" t="inlineStr">
        <is>
          <t>세상에 하나뿐인 마술같은 미술공연</t>
        </is>
      </c>
      <c r="I71" s="2" t="n">
        <v>70000</v>
      </c>
      <c r="J71" s="2" t="n">
        <v>35000</v>
      </c>
      <c r="K71" s="2" t="n">
        <v>50</v>
      </c>
      <c r="L71" s="2" t="inlineStr">
        <is>
          <t>(광화문전용관)비지정 VIP석 14:00 페인터즈</t>
        </is>
      </c>
      <c r="M71" s="2" t="n">
        <v>3</v>
      </c>
      <c r="N71" s="2" t="inlineStr">
        <is>
          <t>구매일</t>
        </is>
      </c>
      <c r="O71" s="2" t="inlineStr">
        <is>
          <t>2026-12-31</t>
        </is>
      </c>
      <c r="P71" s="2" t="inlineStr"/>
      <c r="Q71" s="2" t="inlineStr">
        <is>
          <t>모바일티켓;예약필수</t>
        </is>
      </c>
      <c r="R71" s="2" t="inlineStr">
        <is>
          <t>예약대기</t>
        </is>
      </c>
      <c r="S71" s="2" t="inlineStr"/>
      <c r="T71" s="2" t="inlineStr">
        <is>
          <t>알림톡</t>
        </is>
      </c>
      <c r="U71" s="2" t="inlineStr">
        <is>
          <t>매표소 교환 / 전화 예약 | 관람 예약 확정 후 현장 매표소 방문 및 발권하여 관람 가능</t>
        </is>
      </c>
      <c r="V71" s="2" t="n">
        <v>100</v>
      </c>
      <c r="W71" s="2" t="inlineStr">
        <is>
          <t>불가: 예약확정 후 | 접수: 유선(주중)</t>
        </is>
      </c>
      <c r="X71" s="2" t="inlineStr">
        <is>
          <t>주식회사 펜타토닉</t>
        </is>
      </c>
      <c r="Y71" s="2" t="inlineStr">
        <is>
          <t>서울시 중구 정동길 3 경향신문사 3층</t>
        </is>
      </c>
      <c r="Z71" s="2" t="inlineStr">
        <is>
          <t>02-766-7848</t>
        </is>
      </c>
      <c r="AA71" s="2" t="inlineStr">
        <is>
          <t>https://www.thepainters.co.kr/</t>
        </is>
      </c>
      <c r="AB71" s="2" t="inlineStr">
        <is>
          <t>예약필수</t>
        </is>
      </c>
      <c r="AC71" s="2" t="inlineStr">
        <is>
          <t>Y</t>
        </is>
      </c>
      <c r="AD71" s="2" t="inlineStr"/>
      <c r="AE71" s="2" t="inlineStr">
        <is>
          <t>2026-09-30T04:42:13</t>
        </is>
      </c>
    </row>
    <row r="72">
      <c r="A72" s="2" t="inlineStr">
        <is>
          <t>280321</t>
        </is>
      </c>
      <c r="B72" s="2" t="inlineStr">
        <is>
          <t>공연</t>
        </is>
      </c>
      <c r="C72" s="2" t="inlineStr">
        <is>
          <t>연극</t>
        </is>
      </c>
      <c r="D72" s="2" t="inlineStr">
        <is>
          <t>서울</t>
        </is>
      </c>
      <c r="E72" s="2" t="inlineStr">
        <is>
          <t>수도권</t>
        </is>
      </c>
      <c r="F72" s="2" t="inlineStr">
        <is>
          <t>서울</t>
        </is>
      </c>
      <c r="G72" s="2" t="inlineStr">
        <is>
          <t>대학로 연극 뷰티풀라이프</t>
        </is>
      </c>
      <c r="H72" s="2" t="inlineStr">
        <is>
          <t>다시 오지 않을 이 순간</t>
        </is>
      </c>
      <c r="I72" s="2" t="n">
        <v>50000</v>
      </c>
      <c r="J72" s="2" t="n">
        <v>16000</v>
      </c>
      <c r="K72" s="2" t="n">
        <v>68</v>
      </c>
      <c r="L72" s="2" t="inlineStr">
        <is>
          <t>1인 관람권 뷰티풀라이프</t>
        </is>
      </c>
      <c r="M72" s="2" t="n">
        <v>1</v>
      </c>
      <c r="N72" s="2" t="inlineStr">
        <is>
          <t>구매일</t>
        </is>
      </c>
      <c r="O72" s="2" t="inlineStr"/>
      <c r="P72" s="2" t="inlineStr">
        <is>
          <t>60</t>
        </is>
      </c>
      <c r="Q72" s="2" t="inlineStr">
        <is>
          <t>모바일티켓;예약필수</t>
        </is>
      </c>
      <c r="R72" s="2" t="inlineStr">
        <is>
          <t>예약필수</t>
        </is>
      </c>
      <c r="S72" s="2" t="inlineStr"/>
      <c r="T72" s="2" t="inlineStr"/>
      <c r="U72" s="2" t="inlineStr">
        <is>
          <t>매표소 교환 / 전화 예약 | 관람 예약 확정 후 현장 매표소 방문 및 티켓 발권하여 관람 가능(재발송 가능 상품)</t>
        </is>
      </c>
      <c r="V72" s="2" t="n">
        <v>100</v>
      </c>
      <c r="W72" s="2" t="inlineStr">
        <is>
          <t>기한: 수령 후 7일 이내 | 수수료: 발송·취소 장당 1,000원 | 불가: 부분취소, 기간경과, 예약확정 후 | 접수: 유선(주중)</t>
        </is>
      </c>
      <c r="X72" s="2" t="inlineStr">
        <is>
          <t>지안컴퍼니</t>
        </is>
      </c>
      <c r="Y72" s="2" t="inlineStr">
        <is>
          <t>서울특별시 종로구 이화장길 26 JTN 아트홀</t>
        </is>
      </c>
      <c r="Z72" s="2" t="inlineStr">
        <is>
          <t>02-719-0988</t>
        </is>
      </c>
      <c r="AA72" s="2" t="inlineStr">
        <is>
          <t>https://tickets.interpark.com/goods/18001569 ; https://blog.naver.com/ziancompany</t>
        </is>
      </c>
      <c r="AB72" s="2" t="inlineStr">
        <is>
          <t>예약필수</t>
        </is>
      </c>
      <c r="AC72" s="2" t="inlineStr">
        <is>
          <t>Y</t>
        </is>
      </c>
      <c r="AD72" s="2" t="inlineStr"/>
      <c r="AE72" s="2" t="inlineStr">
        <is>
          <t>2026-09-30T04:42:16</t>
        </is>
      </c>
    </row>
    <row r="73">
      <c r="A73" s="2" t="inlineStr">
        <is>
          <t>328418</t>
        </is>
      </c>
      <c r="B73" s="2" t="inlineStr">
        <is>
          <t>공연</t>
        </is>
      </c>
      <c r="C73" s="2" t="inlineStr">
        <is>
          <t>연극</t>
        </is>
      </c>
      <c r="D73" s="2" t="inlineStr">
        <is>
          <t>서울</t>
        </is>
      </c>
      <c r="E73" s="2" t="inlineStr">
        <is>
          <t>수도권</t>
        </is>
      </c>
      <c r="F73" s="2" t="inlineStr">
        <is>
          <t>서울</t>
        </is>
      </c>
      <c r="G73" s="2" t="inlineStr">
        <is>
          <t>대학로 연극 2호선 세입자</t>
        </is>
      </c>
      <c r="H73" s="2" t="inlineStr">
        <is>
          <t>강력한 웃음 만발 장전!</t>
        </is>
      </c>
      <c r="I73" s="2" t="n">
        <v>40000</v>
      </c>
      <c r="J73" s="2" t="n">
        <v>14000</v>
      </c>
      <c r="K73" s="2" t="n">
        <v>65</v>
      </c>
      <c r="L73" s="2" t="inlineStr">
        <is>
          <t>1인 관람권 2호선세입자(구매 후 30일)</t>
        </is>
      </c>
      <c r="M73" s="2" t="n">
        <v>1</v>
      </c>
      <c r="N73" s="2" t="inlineStr">
        <is>
          <t>구매일</t>
        </is>
      </c>
      <c r="O73" s="2" t="inlineStr"/>
      <c r="P73" s="2" t="inlineStr">
        <is>
          <t>30</t>
        </is>
      </c>
      <c r="Q73" s="2" t="inlineStr">
        <is>
          <t>모바일티켓;예약필수</t>
        </is>
      </c>
      <c r="R73" s="2" t="inlineStr">
        <is>
          <t>예약필수</t>
        </is>
      </c>
      <c r="S73" s="2" t="inlineStr"/>
      <c r="T73" s="2" t="inlineStr"/>
      <c r="U73" s="2" t="inlineStr">
        <is>
          <t>매표소 교환 / 전화 예약 | 관람 예약 확정 후 현장 매표소 방문 및 발권하여 관람 가능(재발송 가능 상품)</t>
        </is>
      </c>
      <c r="V73" s="2" t="n">
        <v>100</v>
      </c>
      <c r="W73" s="2" t="inlineStr">
        <is>
          <t>기한: 수령 후 7일 이내 | 수수료: 발송·취소 장당 1,000원 | 불가: 부분취소, 기간경과, 예약확정 후 | 접수: 유선(주중)</t>
        </is>
      </c>
      <c r="X73" s="2" t="inlineStr">
        <is>
          <t>(주)레드앤블루</t>
        </is>
      </c>
      <c r="Y73" s="2" t="inlineStr">
        <is>
          <t>서울특별시 종로구 대학로8가길 80 리트모빌딩 3층</t>
        </is>
      </c>
      <c r="Z73" s="2" t="inlineStr">
        <is>
          <t>02-764-8760</t>
        </is>
      </c>
      <c r="AA73" s="2" t="inlineStr">
        <is>
          <t>https://tickets.interpark.com/goods/21013249?app_tapbar_state=hide&amp;</t>
        </is>
      </c>
      <c r="AB73" s="2" t="inlineStr">
        <is>
          <t>예약필수</t>
        </is>
      </c>
      <c r="AC73" s="2" t="inlineStr">
        <is>
          <t>Y</t>
        </is>
      </c>
      <c r="AD73" s="2" t="inlineStr"/>
      <c r="AE73" s="2" t="inlineStr">
        <is>
          <t>2026-09-30T04:42:19</t>
        </is>
      </c>
    </row>
    <row r="74">
      <c r="A74" s="2" t="inlineStr">
        <is>
          <t>308015</t>
        </is>
      </c>
      <c r="B74" s="2" t="inlineStr">
        <is>
          <t>테마파크</t>
        </is>
      </c>
      <c r="C74" s="2" t="inlineStr">
        <is>
          <t>테마파크</t>
        </is>
      </c>
      <c r="D74" s="2" t="inlineStr">
        <is>
          <t>서울</t>
        </is>
      </c>
      <c r="E74" s="2" t="inlineStr">
        <is>
          <t>수도권</t>
        </is>
      </c>
      <c r="F74" s="2" t="inlineStr">
        <is>
          <t>서울</t>
        </is>
      </c>
      <c r="G74" s="2" t="inlineStr">
        <is>
          <t>N서울타워 전망대 입장권</t>
        </is>
      </c>
      <c r="H74" s="2" t="inlineStr">
        <is>
          <t>서울의 중심에서 만나는 특별한 순간!</t>
        </is>
      </c>
      <c r="I74" s="2" t="n">
        <v>23000</v>
      </c>
      <c r="J74" s="2" t="n">
        <v>18200</v>
      </c>
      <c r="K74" s="2" t="n">
        <v>21</v>
      </c>
      <c r="L74" s="2" t="inlineStr">
        <is>
          <t>N서울타워 전망대 소인 입장권(~12/31)</t>
        </is>
      </c>
      <c r="M74" s="2" t="n">
        <v>2</v>
      </c>
      <c r="N74" s="2" t="inlineStr">
        <is>
          <t>2026-01-01</t>
        </is>
      </c>
      <c r="O74" s="2" t="inlineStr">
        <is>
          <t>2026-12-31</t>
        </is>
      </c>
      <c r="P74" s="2" t="inlineStr"/>
      <c r="Q74" s="2" t="inlineStr">
        <is>
          <t>모바일티켓;수령 후 사용 가능</t>
        </is>
      </c>
      <c r="R74" s="2" t="inlineStr">
        <is>
          <t>수령후사용</t>
        </is>
      </c>
      <c r="S74" s="2" t="inlineStr"/>
      <c r="T74" s="2" t="inlineStr">
        <is>
          <t>LMS 문자/순차 발송</t>
        </is>
      </c>
      <c r="U74" s="2" t="inlineStr">
        <is>
          <t>매표소 교환 / 바로 입장 | 모바일 이용권 현장 매표소 제시 및 발권 후 이용 가능(재발송 가능 상품)</t>
        </is>
      </c>
      <c r="V74" s="2" t="n">
        <v>100</v>
      </c>
      <c r="W74" s="2" t="inlineStr">
        <is>
          <t>기한: 수령 후 7일 이내 | 수수료: 발송·취소 장당 1,000원 | 불가: 부분취소, 기간경과 | 접수: 유선</t>
        </is>
      </c>
      <c r="X74" s="2" t="inlineStr">
        <is>
          <t>N서울타워</t>
        </is>
      </c>
      <c r="Y74" s="2" t="inlineStr">
        <is>
          <t>서울 용산구 남산공원길 105(용산동2가)</t>
        </is>
      </c>
      <c r="Z74" s="2" t="inlineStr">
        <is>
          <t>02-3455-9277, 9288</t>
        </is>
      </c>
      <c r="AA74" s="2" t="inlineStr">
        <is>
          <t>https://www.nseoultower.co.kr:8501/index.asp</t>
        </is>
      </c>
      <c r="AB74" s="2" t="inlineStr">
        <is>
          <t>수령 후 사용 가능</t>
        </is>
      </c>
      <c r="AC74" s="2" t="inlineStr">
        <is>
          <t>Y</t>
        </is>
      </c>
      <c r="AD74" s="2" t="inlineStr"/>
      <c r="AE74" s="2" t="inlineStr">
        <is>
          <t>2026-09-30T04:42:21</t>
        </is>
      </c>
    </row>
    <row r="75">
      <c r="A75" s="2" t="inlineStr">
        <is>
          <t>244498</t>
        </is>
      </c>
      <c r="B75" s="2" t="inlineStr">
        <is>
          <t>테마파크</t>
        </is>
      </c>
      <c r="C75" s="2" t="inlineStr">
        <is>
          <t>아쿠아리움</t>
        </is>
      </c>
      <c r="D75" s="2" t="inlineStr">
        <is>
          <t>경기</t>
        </is>
      </c>
      <c r="E75" s="2" t="inlineStr">
        <is>
          <t>수도권</t>
        </is>
      </c>
      <c r="F75" s="2" t="inlineStr">
        <is>
          <t>광교</t>
        </is>
      </c>
      <c r="G75" s="2" t="inlineStr">
        <is>
          <t>광교아쿠아플라넷</t>
        </is>
      </c>
      <c r="H75" s="2" t="inlineStr">
        <is>
          <t>경기남부 최고의 아쿠아리움</t>
        </is>
      </c>
      <c r="I75" s="2" t="n">
        <v>30000</v>
      </c>
      <c r="J75" s="2" t="n">
        <v>20000</v>
      </c>
      <c r="K75" s="2" t="n">
        <v>33</v>
      </c>
      <c r="L75" s="2" t="inlineStr">
        <is>
          <t>이용권 광교아쿠아플라넷</t>
        </is>
      </c>
      <c r="M75" s="2" t="n">
        <v>1</v>
      </c>
      <c r="N75" s="2" t="inlineStr">
        <is>
          <t>구매일</t>
        </is>
      </c>
      <c r="O75" s="2" t="inlineStr"/>
      <c r="P75" s="2" t="inlineStr">
        <is>
          <t>60</t>
        </is>
      </c>
      <c r="Q75" s="2" t="inlineStr">
        <is>
          <t>모바일티켓;바로 사용가능</t>
        </is>
      </c>
      <c r="R75" s="2" t="inlineStr">
        <is>
          <t>즉시발송</t>
        </is>
      </c>
      <c r="S75" s="2" t="inlineStr"/>
      <c r="T75" s="2" t="inlineStr">
        <is>
          <t>LMS 문자</t>
        </is>
      </c>
      <c r="U75" s="2" t="inlineStr">
        <is>
          <t>QR/바코드 제시 / 매표소 교환 / 바로 입장 | LMS 바코드 문자 이용권 현장 매표소 제시 후 이용 가능(재발송 가능 상품)</t>
        </is>
      </c>
      <c r="V75" s="2" t="n">
        <v>20</v>
      </c>
      <c r="W75" s="2" t="inlineStr">
        <is>
          <t>기한: 수령 후 7일 이내 | 수수료: 발송·취소 장당 1,000원 | 불가: 부분취소, 기간경과 | 접수: 유선</t>
        </is>
      </c>
      <c r="X75" s="2" t="inlineStr">
        <is>
          <t>아쿠아플라넷 광교</t>
        </is>
      </c>
      <c r="Y75" s="2" t="inlineStr">
        <is>
          <t>경기도 수원시 영통구 광교호수공원로 300 갤러리아 광교 파사쥬 B1F</t>
        </is>
      </c>
      <c r="Z75" s="2" t="inlineStr">
        <is>
          <t>1833-7001</t>
        </is>
      </c>
      <c r="AA75" s="2" t="inlineStr">
        <is>
          <t>https://www.aquaplanet.co.kr/gwanggyo/index.do</t>
        </is>
      </c>
      <c r="AB75" s="2" t="inlineStr">
        <is>
          <t>바로 사용가능</t>
        </is>
      </c>
      <c r="AC75" s="2" t="inlineStr">
        <is>
          <t>Y</t>
        </is>
      </c>
      <c r="AD75" s="2" t="inlineStr"/>
      <c r="AE75" s="2" t="inlineStr">
        <is>
          <t>2026-09-30T04:42:24</t>
        </is>
      </c>
    </row>
    <row r="76">
      <c r="A76" s="2" t="inlineStr">
        <is>
          <t>320158</t>
        </is>
      </c>
      <c r="B76" s="2" t="inlineStr">
        <is>
          <t>테마파크</t>
        </is>
      </c>
      <c r="C76" s="2" t="inlineStr">
        <is>
          <t>아쿠아리움</t>
        </is>
      </c>
      <c r="D76" s="2" t="inlineStr">
        <is>
          <t>전남</t>
        </is>
      </c>
      <c r="E76" s="2" t="inlineStr">
        <is>
          <t>호남</t>
        </is>
      </c>
      <c r="F76" s="2" t="inlineStr">
        <is>
          <t>여수</t>
        </is>
      </c>
      <c r="G76" s="2" t="inlineStr">
        <is>
          <t>여수아쿠아플라넷</t>
        </is>
      </c>
      <c r="H76" s="2" t="inlineStr">
        <is>
          <t>인간과 자연이 공생하는 아쿠아플라넷 여수</t>
        </is>
      </c>
      <c r="I76" s="2" t="n">
        <v>36400</v>
      </c>
      <c r="J76" s="2" t="n">
        <v>27000</v>
      </c>
      <c r="K76" s="2" t="n">
        <v>26</v>
      </c>
      <c r="L76" s="2" t="inlineStr">
        <is>
          <t>입장권(아쿠아리움+전시+영상관) 여수아쿠아플라넷</t>
        </is>
      </c>
      <c r="M76" s="2" t="n">
        <v>1</v>
      </c>
      <c r="N76" s="2" t="inlineStr">
        <is>
          <t>구매일</t>
        </is>
      </c>
      <c r="O76" s="2" t="inlineStr"/>
      <c r="P76" s="2" t="inlineStr">
        <is>
          <t>60</t>
        </is>
      </c>
      <c r="Q76" s="2" t="inlineStr">
        <is>
          <t>모바일티켓;바로 사용가능</t>
        </is>
      </c>
      <c r="R76" s="2" t="inlineStr">
        <is>
          <t>즉시발송</t>
        </is>
      </c>
      <c r="S76" s="2" t="inlineStr"/>
      <c r="T76" s="2" t="inlineStr">
        <is>
          <t>LMS 문자</t>
        </is>
      </c>
      <c r="U76" s="2" t="inlineStr">
        <is>
          <t>QR/바코드 제시 / 매표소 교환 / 바로 입장 | LMS 바코드 문자 이용권 현장 매표소 제시 후 이용 가능(재발송 가능 상품)</t>
        </is>
      </c>
      <c r="V76" s="2" t="n">
        <v>100</v>
      </c>
      <c r="W76" s="2" t="inlineStr">
        <is>
          <t>기한: 수령 후 7일 이내 | 수수료: 발송·취소 장당 1,000원 | 불가: 부분취소, 기간경과 | 접수: 유선</t>
        </is>
      </c>
      <c r="X76" s="2" t="inlineStr">
        <is>
          <t>아쿠아플라넷 여수</t>
        </is>
      </c>
      <c r="Y76" s="2" t="inlineStr">
        <is>
          <t>전남 여수시 오동도로 61-11 아쿠아플라넷 여수</t>
        </is>
      </c>
      <c r="Z76" s="2" t="inlineStr">
        <is>
          <t>061-660-1111</t>
        </is>
      </c>
      <c r="AA76" s="2" t="inlineStr">
        <is>
          <t>https://www.aquaplanet.co.kr/yeosu/index.do</t>
        </is>
      </c>
      <c r="AB76" s="2" t="inlineStr">
        <is>
          <t>바로 사용가능</t>
        </is>
      </c>
      <c r="AC76" s="2" t="inlineStr">
        <is>
          <t>Y</t>
        </is>
      </c>
      <c r="AD76" s="2" t="inlineStr"/>
      <c r="AE76" s="2" t="inlineStr">
        <is>
          <t>2026-09-30T04:42:27</t>
        </is>
      </c>
    </row>
    <row r="77">
      <c r="A77" s="2" t="inlineStr">
        <is>
          <t>280924</t>
        </is>
      </c>
      <c r="B77" s="2" t="inlineStr">
        <is>
          <t>테마파크</t>
        </is>
      </c>
      <c r="C77" s="2" t="inlineStr">
        <is>
          <t>아쿠아리움</t>
        </is>
      </c>
      <c r="D77" s="2" t="inlineStr">
        <is>
          <t>대전</t>
        </is>
      </c>
      <c r="E77" s="2" t="inlineStr">
        <is>
          <t>충청</t>
        </is>
      </c>
      <c r="F77" s="2" t="inlineStr">
        <is>
          <t>대전</t>
        </is>
      </c>
      <c r="G77" s="2" t="inlineStr">
        <is>
          <t>대전엑스포아쿠아리움</t>
        </is>
      </c>
      <c r="H77" s="2" t="inlineStr">
        <is>
          <t>미디어아트와 살아있는 생물의 콜라보</t>
        </is>
      </c>
      <c r="I77" s="2" t="n">
        <v>32000</v>
      </c>
      <c r="J77" s="2" t="n">
        <v>22400</v>
      </c>
      <c r="K77" s="2" t="n">
        <v>30</v>
      </c>
      <c r="L77" s="2" t="inlineStr">
        <is>
          <t>대전엑스포아쿠아리움</t>
        </is>
      </c>
      <c r="M77" s="2" t="n">
        <v>1</v>
      </c>
      <c r="N77" s="2" t="inlineStr">
        <is>
          <t>구매일</t>
        </is>
      </c>
      <c r="O77" s="2" t="inlineStr"/>
      <c r="P77" s="2" t="inlineStr">
        <is>
          <t>60</t>
        </is>
      </c>
      <c r="Q77" s="2" t="inlineStr">
        <is>
          <t>모바일티켓;바로 사용가능</t>
        </is>
      </c>
      <c r="R77" s="2" t="inlineStr">
        <is>
          <t>즉시발송</t>
        </is>
      </c>
      <c r="S77" s="2" t="inlineStr"/>
      <c r="T77" s="2" t="inlineStr">
        <is>
          <t>LMS 문자</t>
        </is>
      </c>
      <c r="U77" s="2" t="inlineStr">
        <is>
          <t>QR/바코드 제시 / 매표소 교환 / 바로 입장 | LMS 바코드 문자 이용권 현장 매표소 제시 후 이용 가능(재발송 가능 상품)</t>
        </is>
      </c>
      <c r="V77" s="2" t="n">
        <v>20</v>
      </c>
      <c r="W77" s="2" t="inlineStr">
        <is>
          <t>기한: 수령 후 7일 이내 | 수수료: 발송·취소 장당 1,000원 | 불가: 부분취소, 기간경과 | 접수: 유선(주중)</t>
        </is>
      </c>
      <c r="X77" s="2" t="inlineStr">
        <is>
          <t>대전엑스포아쿠아리움</t>
        </is>
      </c>
      <c r="Y77" s="2" t="inlineStr">
        <is>
          <t>대전 유성구 엑스포로 1 대전 신세계 Art&amp;Science 지하 1층</t>
        </is>
      </c>
      <c r="Z77" s="2" t="inlineStr">
        <is>
          <t>042-607-8852</t>
        </is>
      </c>
      <c r="AA77" s="2" t="inlineStr">
        <is>
          <t>https://djexpoaqua.com/</t>
        </is>
      </c>
      <c r="AB77" s="2" t="inlineStr">
        <is>
          <t>바로 사용가능</t>
        </is>
      </c>
      <c r="AC77" s="2" t="inlineStr">
        <is>
          <t>Y</t>
        </is>
      </c>
      <c r="AD77" s="2" t="inlineStr"/>
      <c r="AE77" s="2" t="inlineStr">
        <is>
          <t>2026-09-30T04:42:29</t>
        </is>
      </c>
    </row>
    <row r="78">
      <c r="A78" s="2" t="inlineStr">
        <is>
          <t>317444</t>
        </is>
      </c>
      <c r="B78" s="2" t="inlineStr">
        <is>
          <t>테마파크</t>
        </is>
      </c>
      <c r="C78" s="2" t="inlineStr">
        <is>
          <t>테마파크</t>
        </is>
      </c>
      <c r="D78" s="2" t="inlineStr">
        <is>
          <t>경북</t>
        </is>
      </c>
      <c r="E78" s="2" t="inlineStr">
        <is>
          <t>영남</t>
        </is>
      </c>
      <c r="F78" s="2" t="inlineStr">
        <is>
          <t>경주</t>
        </is>
      </c>
      <c r="G78" s="2" t="inlineStr">
        <is>
          <t>또봇정크아트+엑스포공원</t>
        </is>
      </c>
      <c r="H78" s="2" t="inlineStr">
        <is>
          <t>거대한 또봇을 눈앞에서 만날수 있는 전시몰</t>
        </is>
      </c>
      <c r="I78" s="2" t="n">
        <v>20000</v>
      </c>
      <c r="J78" s="2" t="n">
        <v>10900</v>
      </c>
      <c r="K78" s="2" t="n">
        <v>46</v>
      </c>
      <c r="L78" s="2" t="inlineStr">
        <is>
          <t>또봇정크아트+엑스포공원 이용권(~12/31)</t>
        </is>
      </c>
      <c r="M78" s="2" t="n">
        <v>1</v>
      </c>
      <c r="N78" s="2" t="inlineStr">
        <is>
          <t>2026-05-08</t>
        </is>
      </c>
      <c r="O78" s="2" t="inlineStr">
        <is>
          <t>2026-12-31</t>
        </is>
      </c>
      <c r="P78" s="2" t="inlineStr"/>
      <c r="Q78" s="2" t="inlineStr">
        <is>
          <t>모바일티켓;바로 사용가능</t>
        </is>
      </c>
      <c r="R78" s="2" t="inlineStr">
        <is>
          <t>즉시발송</t>
        </is>
      </c>
      <c r="S78" s="2" t="inlineStr">
        <is>
          <t>엘에스컴퍼니</t>
        </is>
      </c>
      <c r="T78" s="2" t="inlineStr">
        <is>
          <t>알림톡</t>
        </is>
      </c>
      <c r="U78" s="2" t="inlineStr">
        <is>
          <t>매표소 교환 / 바로 입장 | 모바일 이용권 현장 매표소 제시 후 이용 가능(재발송 가능 상품)</t>
        </is>
      </c>
      <c r="V78" s="2" t="n">
        <v>20</v>
      </c>
      <c r="W78" s="2" t="inlineStr">
        <is>
          <t>기한: 수령 후 7일 이내 | 수수료: 발송·취소 장당 1,000원 | 불가: 부분취소, 기간경과 | 접수: 유선(주중)</t>
        </is>
      </c>
      <c r="X78" s="2" t="inlineStr">
        <is>
          <t>또봇 정크아트뮤지엄</t>
        </is>
      </c>
      <c r="Y78" s="2" t="inlineStr">
        <is>
          <t>경북 경주시 경감로 614</t>
        </is>
      </c>
      <c r="Z78" s="2" t="inlineStr">
        <is>
          <t>054-741-5300</t>
        </is>
      </c>
      <c r="AA78" s="2" t="inlineStr"/>
      <c r="AB78" s="2" t="inlineStr">
        <is>
          <t>바로 사용가능</t>
        </is>
      </c>
      <c r="AC78" s="2" t="inlineStr">
        <is>
          <t>Y</t>
        </is>
      </c>
      <c r="AD78" s="2" t="inlineStr"/>
      <c r="AE78" s="2" t="inlineStr">
        <is>
          <t>2026-09-30T04:42:31</t>
        </is>
      </c>
    </row>
    <row r="79">
      <c r="A79" s="2" t="inlineStr">
        <is>
          <t>327599</t>
        </is>
      </c>
      <c r="B79" s="2" t="inlineStr">
        <is>
          <t>테마파크</t>
        </is>
      </c>
      <c r="C79" s="2" t="inlineStr">
        <is>
          <t>테마파크</t>
        </is>
      </c>
      <c r="D79" s="2" t="inlineStr">
        <is>
          <t>경북</t>
        </is>
      </c>
      <c r="E79" s="2" t="inlineStr">
        <is>
          <t>영남</t>
        </is>
      </c>
      <c r="F79" s="2" t="inlineStr">
        <is>
          <t>경북</t>
        </is>
      </c>
      <c r="G79" s="2" t="inlineStr">
        <is>
          <t>청도 군파크 루지+스카이 리프트</t>
        </is>
      </c>
      <c r="H79" s="2" t="inlineStr">
        <is>
          <t>일상에서 벗어난 짜릿한 모험 군파크 루지!</t>
        </is>
      </c>
      <c r="I79" s="2" t="n">
        <v>33000</v>
      </c>
      <c r="J79" s="2" t="n">
        <v>23700</v>
      </c>
      <c r="K79" s="2" t="n">
        <v>28</v>
      </c>
      <c r="L79" s="2" t="inlineStr">
        <is>
          <t>주중/주말 2회권 군파크 루지+스카이리프트(~10/31)</t>
        </is>
      </c>
      <c r="M79" s="2" t="n">
        <v>2</v>
      </c>
      <c r="N79" s="2" t="inlineStr">
        <is>
          <t>2026-03-19</t>
        </is>
      </c>
      <c r="O79" s="2" t="inlineStr">
        <is>
          <t>2026-10-31</t>
        </is>
      </c>
      <c r="P79" s="2" t="inlineStr"/>
      <c r="Q79" s="2" t="inlineStr">
        <is>
          <t>모바일티켓;바로 사용가능</t>
        </is>
      </c>
      <c r="R79" s="2" t="inlineStr">
        <is>
          <t>즉시발송</t>
        </is>
      </c>
      <c r="S79" s="2" t="inlineStr">
        <is>
          <t>엘에스컴퍼니</t>
        </is>
      </c>
      <c r="T79" s="2" t="inlineStr">
        <is>
          <t>알림톡</t>
        </is>
      </c>
      <c r="U79" s="2" t="inlineStr">
        <is>
          <t>매표소 교환 / 바로 입장 | 모바일 이용권 현장 매표소 제시 후 이용 가능(재발송 가능 상품)</t>
        </is>
      </c>
      <c r="V79" s="2" t="n">
        <v>20</v>
      </c>
      <c r="W79" s="2" t="inlineStr">
        <is>
          <t>기한: 수령 후 7일 이내 | 수수료: 발송·취소 장당 1,000원 | 불가: 부분취소, 기간경과 | 접수: 유선(주중)</t>
        </is>
      </c>
      <c r="X79" s="2" t="inlineStr">
        <is>
          <t>군파크루지 테마파크</t>
        </is>
      </c>
      <c r="Y79" s="2" t="inlineStr">
        <is>
          <t>경북 청도군 화양읍 남성현로 350-30 군파크루지 테마파크</t>
        </is>
      </c>
      <c r="Z79" s="2" t="inlineStr">
        <is>
          <t>0507-1436-8890</t>
        </is>
      </c>
      <c r="AA79" s="2" t="inlineStr">
        <is>
          <t>https://goonpark.com/</t>
        </is>
      </c>
      <c r="AB79" s="2" t="inlineStr">
        <is>
          <t>바로 사용가능</t>
        </is>
      </c>
      <c r="AC79" s="2" t="inlineStr">
        <is>
          <t>Y</t>
        </is>
      </c>
      <c r="AD79" s="2" t="inlineStr"/>
      <c r="AE79" s="2" t="inlineStr">
        <is>
          <t>2026-09-30T04:42:34</t>
        </is>
      </c>
    </row>
    <row r="80">
      <c r="A80" s="2" t="inlineStr">
        <is>
          <t>234364</t>
        </is>
      </c>
      <c r="B80" s="2" t="inlineStr">
        <is>
          <t>테마파크</t>
        </is>
      </c>
      <c r="C80" s="2" t="inlineStr">
        <is>
          <t>테마파크</t>
        </is>
      </c>
      <c r="D80" s="2" t="inlineStr">
        <is>
          <t>경기</t>
        </is>
      </c>
      <c r="E80" s="2" t="inlineStr">
        <is>
          <t>수도권</t>
        </is>
      </c>
      <c r="F80" s="2" t="inlineStr">
        <is>
          <t>양평</t>
        </is>
      </c>
      <c r="G80" s="2" t="inlineStr">
        <is>
          <t>양떼목장</t>
        </is>
      </c>
      <c r="H80" s="2" t="inlineStr">
        <is>
          <t>사계절 아이들의 천국</t>
        </is>
      </c>
      <c r="I80" s="2" t="n">
        <v>6000</v>
      </c>
      <c r="J80" s="2" t="n">
        <v>5250</v>
      </c>
      <c r="K80" s="2" t="n">
        <v>13</v>
      </c>
      <c r="L80" s="2" t="inlineStr">
        <is>
          <t>양떼목장 이용권</t>
        </is>
      </c>
      <c r="M80" s="2" t="n">
        <v>1</v>
      </c>
      <c r="N80" s="2" t="inlineStr">
        <is>
          <t>구매일</t>
        </is>
      </c>
      <c r="O80" s="2" t="inlineStr"/>
      <c r="P80" s="2" t="inlineStr">
        <is>
          <t>30</t>
        </is>
      </c>
      <c r="Q80" s="2" t="inlineStr">
        <is>
          <t>모바일티켓;바로 사용가능</t>
        </is>
      </c>
      <c r="R80" s="2" t="inlineStr">
        <is>
          <t>즉시발송</t>
        </is>
      </c>
      <c r="S80" s="2" t="inlineStr"/>
      <c r="T80" s="2" t="inlineStr">
        <is>
          <t>LMS 문자</t>
        </is>
      </c>
      <c r="U80" s="2" t="inlineStr">
        <is>
          <t>QR/바코드 제시 / 매표소 교환 / 바로 입장 | LMS 바코드 문자 이용권 현장 매표소 제시 후 이용 가능(재발송 가능 상품)</t>
        </is>
      </c>
      <c r="V80" s="2" t="n">
        <v>100</v>
      </c>
      <c r="W80" s="2" t="inlineStr">
        <is>
          <t>기한: 수령 후 7일 이내 | 수수료: 발송·취소 장당 1,000원 | 불가: 부분취소, 기간경과 | 접수: 유선</t>
        </is>
      </c>
      <c r="X80" s="2" t="inlineStr">
        <is>
          <t>양평 양떼목장</t>
        </is>
      </c>
      <c r="Y80" s="2" t="inlineStr">
        <is>
          <t>격기 양평군 용문면 은고갯길 112</t>
        </is>
      </c>
      <c r="Z80" s="2" t="inlineStr">
        <is>
          <t>031-774-4512</t>
        </is>
      </c>
      <c r="AA80" s="2" t="inlineStr">
        <is>
          <t>https://ypsheepfarm.modoo.at/?link=3192wj2t</t>
        </is>
      </c>
      <c r="AB80" s="2" t="inlineStr">
        <is>
          <t>바로 사용가능</t>
        </is>
      </c>
      <c r="AC80" s="2" t="inlineStr">
        <is>
          <t>Y</t>
        </is>
      </c>
      <c r="AD80" s="2" t="inlineStr"/>
      <c r="AE80" s="2" t="inlineStr">
        <is>
          <t>2026-09-30T04:42:37</t>
        </is>
      </c>
    </row>
    <row r="81">
      <c r="A81" s="2" t="inlineStr">
        <is>
          <t>324008</t>
        </is>
      </c>
      <c r="B81" s="2" t="inlineStr">
        <is>
          <t>테마파크</t>
        </is>
      </c>
      <c r="C81" s="2" t="inlineStr">
        <is>
          <t>테마파크</t>
        </is>
      </c>
      <c r="D81" s="2" t="inlineStr">
        <is>
          <t>경남</t>
        </is>
      </c>
      <c r="E81" s="2" t="inlineStr">
        <is>
          <t>영남</t>
        </is>
      </c>
      <c r="F81" s="2" t="inlineStr">
        <is>
          <t>남해</t>
        </is>
      </c>
      <c r="G81" s="2" t="inlineStr">
        <is>
          <t>양떼목장 양모리 학교</t>
        </is>
      </c>
      <c r="H81" s="2" t="inlineStr">
        <is>
          <t>푸른 남해 바다가 보이는 남해 양떼목장!</t>
        </is>
      </c>
      <c r="I81" s="2" t="n">
        <v>7000</v>
      </c>
      <c r="J81" s="2" t="n">
        <v>5650</v>
      </c>
      <c r="K81" s="2" t="n">
        <v>19</v>
      </c>
      <c r="L81" s="2" t="inlineStr">
        <is>
          <t>대인 이용권 남해 양떼목장(~10/31)</t>
        </is>
      </c>
      <c r="M81" s="2" t="n">
        <v>2</v>
      </c>
      <c r="N81" s="2" t="inlineStr">
        <is>
          <t>2026-05-08</t>
        </is>
      </c>
      <c r="O81" s="2" t="inlineStr">
        <is>
          <t>2026-10-31</t>
        </is>
      </c>
      <c r="P81" s="2" t="inlineStr"/>
      <c r="Q81" s="2" t="inlineStr">
        <is>
          <t>모바일티켓;바로 사용가능</t>
        </is>
      </c>
      <c r="R81" s="2" t="inlineStr">
        <is>
          <t>즉시발송</t>
        </is>
      </c>
      <c r="S81" s="2" t="inlineStr">
        <is>
          <t>엘에스컴퍼니</t>
        </is>
      </c>
      <c r="T81" s="2" t="inlineStr">
        <is>
          <t>알림톡</t>
        </is>
      </c>
      <c r="U81" s="2" t="inlineStr">
        <is>
          <t>매표소 교환 / 바로 입장 | 모바일 이용권 현장 매표소 제시 후 이용 가능(재발송 가능 상품)</t>
        </is>
      </c>
      <c r="V81" s="2" t="n">
        <v>20</v>
      </c>
      <c r="W81" s="2" t="inlineStr">
        <is>
          <t>기한: 수령 후 7일 이내 | 수수료: 발송·취소 장당 1,000원 | 불가: 부분취소, 기간경과 | 접수: 유선(주중)</t>
        </is>
      </c>
      <c r="X81" s="2" t="inlineStr">
        <is>
          <t>양떼목장 양모리 학교</t>
        </is>
      </c>
      <c r="Y81" s="2" t="inlineStr">
        <is>
          <t>경남 남해군 설천면 설천로775번길 256-17</t>
        </is>
      </c>
      <c r="Z81" s="2" t="inlineStr">
        <is>
          <t>0507-1442-8993</t>
        </is>
      </c>
      <c r="AA81" s="2" t="inlineStr"/>
      <c r="AB81" s="2" t="inlineStr">
        <is>
          <t>바로 사용가능</t>
        </is>
      </c>
      <c r="AC81" s="2" t="inlineStr">
        <is>
          <t>Y</t>
        </is>
      </c>
      <c r="AD81" s="2" t="inlineStr"/>
      <c r="AE81" s="2" t="inlineStr">
        <is>
          <t>2026-09-30T04:42:39</t>
        </is>
      </c>
    </row>
    <row r="82">
      <c r="A82" s="2" t="inlineStr">
        <is>
          <t>311809</t>
        </is>
      </c>
      <c r="B82" s="2" t="inlineStr">
        <is>
          <t>테마파크</t>
        </is>
      </c>
      <c r="C82" s="2" t="inlineStr">
        <is>
          <t>테마파크</t>
        </is>
      </c>
      <c r="D82" s="2" t="inlineStr">
        <is>
          <t>경기</t>
        </is>
      </c>
      <c r="E82" s="2" t="inlineStr">
        <is>
          <t>수도권</t>
        </is>
      </c>
      <c r="F82" s="2" t="inlineStr">
        <is>
          <t>파주</t>
        </is>
      </c>
      <c r="G82" s="2" t="inlineStr">
        <is>
          <t>헤이리 한국근현대사박물관</t>
        </is>
      </c>
      <c r="H82" s="2" t="inlineStr">
        <is>
          <t>어른들의 아련한 추억과 아이들의 역사공부!</t>
        </is>
      </c>
      <c r="I82" s="2" t="n">
        <v>8000</v>
      </c>
      <c r="J82" s="2" t="n">
        <v>7000</v>
      </c>
      <c r="K82" s="2" t="n">
        <v>13</v>
      </c>
      <c r="L82" s="2" t="inlineStr">
        <is>
          <t>대인입장권 한국근현대사박물관</t>
        </is>
      </c>
      <c r="M82" s="2" t="n">
        <v>2</v>
      </c>
      <c r="N82" s="2" t="inlineStr">
        <is>
          <t>구매일</t>
        </is>
      </c>
      <c r="O82" s="2" t="inlineStr"/>
      <c r="P82" s="2" t="inlineStr">
        <is>
          <t>60</t>
        </is>
      </c>
      <c r="Q82" s="2" t="inlineStr">
        <is>
          <t>모바일티켓;바로 사용가능</t>
        </is>
      </c>
      <c r="R82" s="2" t="inlineStr">
        <is>
          <t>즉시발송</t>
        </is>
      </c>
      <c r="S82" s="2" t="inlineStr"/>
      <c r="T82" s="2" t="inlineStr">
        <is>
          <t>LMS 문자</t>
        </is>
      </c>
      <c r="U82" s="2" t="inlineStr">
        <is>
          <t>QR/바코드 제시 / 매표소 교환 / 바로 입장 | LMS 바코드 문자 이용권 현장 매표소 제시 후 이용 가능(재발송 가능 상품)</t>
        </is>
      </c>
      <c r="V82" s="2" t="n">
        <v>100</v>
      </c>
      <c r="W82" s="2" t="inlineStr">
        <is>
          <t>기한: 수령 후 7일 이내 | 수수료: 발송·취소 장당 1,000원 | 불가: 부분취소, 기간경과 | 접수: 유선</t>
        </is>
      </c>
      <c r="X82" s="2" t="inlineStr">
        <is>
          <t>한국근현대사박물관</t>
        </is>
      </c>
      <c r="Y82" s="2" t="inlineStr">
        <is>
          <t>경기 파주시 탄현면 헤이리마을길 59-85</t>
        </is>
      </c>
      <c r="Z82" s="2" t="inlineStr">
        <is>
          <t>031-957-1125</t>
        </is>
      </c>
      <c r="AA82" s="2" t="inlineStr">
        <is>
          <t>http://www.kmhm.or.kr/</t>
        </is>
      </c>
      <c r="AB82" s="2" t="inlineStr">
        <is>
          <t>바로 사용가능</t>
        </is>
      </c>
      <c r="AC82" s="2" t="inlineStr">
        <is>
          <t>Y</t>
        </is>
      </c>
      <c r="AD82" s="2" t="inlineStr"/>
      <c r="AE82" s="2" t="inlineStr">
        <is>
          <t>2026-09-30T04:42:42</t>
        </is>
      </c>
    </row>
    <row r="83">
      <c r="A83" s="2" t="inlineStr">
        <is>
          <t>324071</t>
        </is>
      </c>
      <c r="B83" s="2" t="inlineStr">
        <is>
          <t>테마파크</t>
        </is>
      </c>
      <c r="C83" s="2" t="inlineStr">
        <is>
          <t>테마파크</t>
        </is>
      </c>
      <c r="D83" s="2" t="inlineStr">
        <is>
          <t>경기</t>
        </is>
      </c>
      <c r="E83" s="2" t="inlineStr">
        <is>
          <t>수도권</t>
        </is>
      </c>
      <c r="F83" s="2" t="inlineStr">
        <is>
          <t>파주</t>
        </is>
      </c>
      <c r="G83" s="2" t="inlineStr">
        <is>
          <t>헤이리 사파리체험테마파크</t>
        </is>
      </c>
      <c r="H83" s="2" t="inlineStr">
        <is>
          <t>오감만족 테마파크</t>
        </is>
      </c>
      <c r="I83" s="2" t="n">
        <v>27000</v>
      </c>
      <c r="J83" s="2" t="n">
        <v>13000</v>
      </c>
      <c r="K83" s="2" t="n">
        <v>52</v>
      </c>
      <c r="L83" s="2" t="inlineStr">
        <is>
          <t>1인 입장권(사파리+파충류+마술쇼+4D라이더)(~10/31)</t>
        </is>
      </c>
      <c r="M83" s="2" t="n">
        <v>3</v>
      </c>
      <c r="N83" s="2" t="inlineStr">
        <is>
          <t>2026-05-01</t>
        </is>
      </c>
      <c r="O83" s="2" t="inlineStr">
        <is>
          <t>2026-10-31</t>
        </is>
      </c>
      <c r="P83" s="2" t="inlineStr"/>
      <c r="Q83" s="2" t="inlineStr">
        <is>
          <t>모바일티켓;바로 사용가능</t>
        </is>
      </c>
      <c r="R83" s="2" t="inlineStr">
        <is>
          <t>즉시발송</t>
        </is>
      </c>
      <c r="S83" s="2" t="inlineStr">
        <is>
          <t>엘에스컴퍼니</t>
        </is>
      </c>
      <c r="T83" s="2" t="inlineStr">
        <is>
          <t>알림톡</t>
        </is>
      </c>
      <c r="U83" s="2" t="inlineStr">
        <is>
          <t>매표소 교환 / 바로 입장 | 모바일 이용권 현장 매표소 제시 후 이용 가능(재발송 가능 상품)</t>
        </is>
      </c>
      <c r="V83" s="2" t="n">
        <v>20</v>
      </c>
      <c r="W83" s="2" t="inlineStr">
        <is>
          <t>기한: 수령 후 7일 이내 | 수수료: 발송·취소 장당 1,000원 | 불가: 부분취소, 기간경과 | 접수: 유선(주중)</t>
        </is>
      </c>
      <c r="X83" s="2" t="inlineStr">
        <is>
          <t>사파리체험테마파크</t>
        </is>
      </c>
      <c r="Y83" s="2" t="inlineStr">
        <is>
          <t>경기 파주시 탄현면 헤이리마을길 93-75</t>
        </is>
      </c>
      <c r="Z83" s="2" t="inlineStr">
        <is>
          <t>031-946-6656</t>
        </is>
      </c>
      <c r="AA83" s="2" t="inlineStr"/>
      <c r="AB83" s="2" t="inlineStr">
        <is>
          <t>바로 사용가능</t>
        </is>
      </c>
      <c r="AC83" s="2" t="inlineStr">
        <is>
          <t>Y</t>
        </is>
      </c>
      <c r="AD83" s="2" t="inlineStr"/>
      <c r="AE83" s="2" t="inlineStr">
        <is>
          <t>2026-09-30T04:42:44</t>
        </is>
      </c>
    </row>
    <row r="84">
      <c r="A84" s="2" t="inlineStr">
        <is>
          <t>293638</t>
        </is>
      </c>
      <c r="B84" s="2" t="inlineStr">
        <is>
          <t>테마파크</t>
        </is>
      </c>
      <c r="C84" s="2" t="inlineStr">
        <is>
          <t>테마파크</t>
        </is>
      </c>
      <c r="D84" s="2" t="inlineStr">
        <is>
          <t>경기</t>
        </is>
      </c>
      <c r="E84" s="2" t="inlineStr">
        <is>
          <t>수도권</t>
        </is>
      </c>
      <c r="F84" s="2" t="inlineStr">
        <is>
          <t>고양</t>
        </is>
      </c>
      <c r="G84" s="2" t="inlineStr">
        <is>
          <t>원더빌리지</t>
        </is>
      </c>
      <c r="H84" s="2" t="inlineStr">
        <is>
          <t>즐거운 체험형 미디어 놀이터</t>
        </is>
      </c>
      <c r="I84" s="2" t="n">
        <v>12000</v>
      </c>
      <c r="J84" s="2" t="n">
        <v>8500</v>
      </c>
      <c r="K84" s="2" t="n">
        <v>29</v>
      </c>
      <c r="L84" s="2" t="inlineStr">
        <is>
          <t>대인입장권(중학생이상) 원더빌리지</t>
        </is>
      </c>
      <c r="M84" s="2" t="n">
        <v>2</v>
      </c>
      <c r="N84" s="2" t="inlineStr">
        <is>
          <t>구매일</t>
        </is>
      </c>
      <c r="O84" s="2" t="inlineStr"/>
      <c r="P84" s="2" t="inlineStr">
        <is>
          <t>60</t>
        </is>
      </c>
      <c r="Q84" s="2" t="inlineStr">
        <is>
          <t>모바일티켓;바로 사용가능</t>
        </is>
      </c>
      <c r="R84" s="2" t="inlineStr">
        <is>
          <t>즉시발송</t>
        </is>
      </c>
      <c r="S84" s="2" t="inlineStr"/>
      <c r="T84" s="2" t="inlineStr">
        <is>
          <t>LMS 문자/순차 발송</t>
        </is>
      </c>
      <c r="U84" s="2" t="inlineStr">
        <is>
          <t>매표소 교환 / 바로 입장 | 모바일 이용권 현장 매표소 제시 후 이용 가능(재발송 가능 상품)</t>
        </is>
      </c>
      <c r="V84" s="2" t="n">
        <v>100</v>
      </c>
      <c r="W84" s="2" t="inlineStr">
        <is>
          <t>기한: 수령 후 7일 이내 | 수수료: 발송·취소 장당 1,000원 | 불가: 부분취소, 기간경과 | 접수: 유선</t>
        </is>
      </c>
      <c r="X84" s="2" t="inlineStr">
        <is>
          <t>원더빌리지</t>
        </is>
      </c>
      <c r="Y84" s="2" t="inlineStr">
        <is>
          <t>경기 고양시 덕양구 고양대로 1955 3층 원더빌리지</t>
        </is>
      </c>
      <c r="Z84" s="2" t="inlineStr">
        <is>
          <t>031-5173-3457</t>
        </is>
      </c>
      <c r="AA84" s="2" t="inlineStr">
        <is>
          <t>https://www.wondervillage.co.kr/</t>
        </is>
      </c>
      <c r="AB84" s="2" t="inlineStr">
        <is>
          <t>바로 사용가능</t>
        </is>
      </c>
      <c r="AC84" s="2" t="inlineStr">
        <is>
          <t>Y</t>
        </is>
      </c>
      <c r="AD84" s="2" t="inlineStr"/>
      <c r="AE84" s="2" t="inlineStr">
        <is>
          <t>2026-09-30T04:42:47</t>
        </is>
      </c>
    </row>
    <row r="85">
      <c r="A85" s="2" t="inlineStr">
        <is>
          <t>276039</t>
        </is>
      </c>
      <c r="B85" s="2" t="inlineStr">
        <is>
          <t>테마파크</t>
        </is>
      </c>
      <c r="C85" s="2" t="inlineStr">
        <is>
          <t>테마파크</t>
        </is>
      </c>
      <c r="D85" s="2" t="inlineStr">
        <is>
          <t>경기</t>
        </is>
      </c>
      <c r="E85" s="2" t="inlineStr">
        <is>
          <t>수도권</t>
        </is>
      </c>
      <c r="F85" s="2" t="inlineStr">
        <is>
          <t>가평</t>
        </is>
      </c>
      <c r="G85" s="2" t="inlineStr">
        <is>
          <t>쁘띠프랑스&amp;이탈리아마을</t>
        </is>
      </c>
      <c r="H85" s="2" t="inlineStr">
        <is>
          <t>유럽의 문화와 예술을 직접 느낄 수 있는 곳</t>
        </is>
      </c>
      <c r="I85" s="2" t="n">
        <v>28000</v>
      </c>
      <c r="J85" s="2" t="n">
        <v>16500</v>
      </c>
      <c r="K85" s="2" t="n">
        <v>41</v>
      </c>
      <c r="L85" s="2" t="inlineStr">
        <is>
          <t>대인이용권 쁘띠프랑스&amp;이탈리아마을 PKG</t>
        </is>
      </c>
      <c r="M85" s="2" t="n">
        <v>2</v>
      </c>
      <c r="N85" s="2" t="inlineStr">
        <is>
          <t>구매일</t>
        </is>
      </c>
      <c r="O85" s="2" t="inlineStr"/>
      <c r="P85" s="2" t="inlineStr">
        <is>
          <t>60</t>
        </is>
      </c>
      <c r="Q85" s="2" t="inlineStr">
        <is>
          <t>모바일티켓;바로 사용가능</t>
        </is>
      </c>
      <c r="R85" s="2" t="inlineStr">
        <is>
          <t>즉시발송</t>
        </is>
      </c>
      <c r="S85" s="2" t="inlineStr"/>
      <c r="T85" s="2" t="inlineStr">
        <is>
          <t>LMS 문자</t>
        </is>
      </c>
      <c r="U85" s="2" t="inlineStr">
        <is>
          <t>QR/바코드 제시 / 매표소 교환 / 바로 입장 | LMS 바코드 문자 이용권 현장 매표소 제시 후 이용 가능(재발송 가능 상품)</t>
        </is>
      </c>
      <c r="V85" s="2" t="n">
        <v>20</v>
      </c>
      <c r="W85" s="2" t="inlineStr">
        <is>
          <t>기한: 수령 후 7일 이내 | 수수료: 발송·취소 장당 1,000원 | 불가: 부분취소, 기간경과 | 접수: 유선</t>
        </is>
      </c>
      <c r="X85" s="2" t="inlineStr">
        <is>
          <t>(주)쁘띠프랑스</t>
        </is>
      </c>
      <c r="Y85" s="2" t="inlineStr">
        <is>
          <t>경기 가평군 청평면 호반로 1063</t>
        </is>
      </c>
      <c r="Z85" s="2" t="inlineStr">
        <is>
          <t>031-584-8200</t>
        </is>
      </c>
      <c r="AA85" s="2" t="inlineStr">
        <is>
          <t>http://www.pfcamp.com/</t>
        </is>
      </c>
      <c r="AB85" s="2" t="inlineStr">
        <is>
          <t>바로 사용가능</t>
        </is>
      </c>
      <c r="AC85" s="2" t="inlineStr">
        <is>
          <t>Y</t>
        </is>
      </c>
      <c r="AD85" s="2" t="inlineStr"/>
      <c r="AE85" s="2" t="inlineStr">
        <is>
          <t>2026-09-30T04:42:50</t>
        </is>
      </c>
    </row>
    <row r="86">
      <c r="A86" s="2" t="inlineStr">
        <is>
          <t>234301</t>
        </is>
      </c>
      <c r="B86" s="2" t="inlineStr">
        <is>
          <t>테마파크</t>
        </is>
      </c>
      <c r="C86" s="2" t="inlineStr">
        <is>
          <t>테마파크</t>
        </is>
      </c>
      <c r="D86" s="2" t="inlineStr">
        <is>
          <t>경기</t>
        </is>
      </c>
      <c r="E86" s="2" t="inlineStr">
        <is>
          <t>수도권</t>
        </is>
      </c>
      <c r="F86" s="2" t="inlineStr">
        <is>
          <t>양평</t>
        </is>
      </c>
      <c r="G86" s="2" t="inlineStr">
        <is>
          <t>풀향기허브나라&amp;토이박물관</t>
        </is>
      </c>
      <c r="H86" s="2" t="inlineStr">
        <is>
          <t>향기 가득한 허브나라와 개인수집가의 16년으로 채운 토이박물관</t>
        </is>
      </c>
      <c r="I86" s="2" t="n">
        <v>6000</v>
      </c>
      <c r="J86" s="2" t="n">
        <v>5000</v>
      </c>
      <c r="K86" s="2" t="n">
        <v>17</v>
      </c>
      <c r="L86" s="2" t="inlineStr">
        <is>
          <t>풀향기허브나라&amp;토이박물관 대인이용권</t>
        </is>
      </c>
      <c r="M86" s="2" t="n">
        <v>2</v>
      </c>
      <c r="N86" s="2" t="inlineStr">
        <is>
          <t>구매일</t>
        </is>
      </c>
      <c r="O86" s="2" t="inlineStr"/>
      <c r="P86" s="2" t="inlineStr">
        <is>
          <t>30</t>
        </is>
      </c>
      <c r="Q86" s="2" t="inlineStr">
        <is>
          <t>모바일티켓;바로 사용가능</t>
        </is>
      </c>
      <c r="R86" s="2" t="inlineStr">
        <is>
          <t>즉시발송</t>
        </is>
      </c>
      <c r="S86" s="2" t="inlineStr"/>
      <c r="T86" s="2" t="inlineStr">
        <is>
          <t>LMS 문자</t>
        </is>
      </c>
      <c r="U86" s="2" t="inlineStr">
        <is>
          <t>QR/바코드 제시 / 매표소 교환 / 바로 입장 | LMS 바코드 문자 이용권 현장 매표소 제시 후 이용 가능(재발송 가능 상품)</t>
        </is>
      </c>
      <c r="V86" s="2" t="n">
        <v>10</v>
      </c>
      <c r="W86" s="2" t="inlineStr">
        <is>
          <t>기한: 수령 후 7일 이내 | 수수료: 발송·취소 장당 1,000원 | 불가: 부분취소, 기간경과 | 접수: 유선</t>
        </is>
      </c>
      <c r="X86" s="2" t="inlineStr">
        <is>
          <t>풀향기허브나라</t>
        </is>
      </c>
      <c r="Y86" s="2" t="inlineStr">
        <is>
          <t>경기 양평군 용문면 용문산로 120-5</t>
        </is>
      </c>
      <c r="Z86" s="2" t="inlineStr">
        <is>
          <t>031-771-1809</t>
        </is>
      </c>
      <c r="AA86" s="2" t="inlineStr">
        <is>
          <t>http://www.pulpul.co.kr/default/</t>
        </is>
      </c>
      <c r="AB86" s="2" t="inlineStr">
        <is>
          <t>바로 사용가능</t>
        </is>
      </c>
      <c r="AC86" s="2" t="inlineStr">
        <is>
          <t>Y</t>
        </is>
      </c>
      <c r="AD86" s="2" t="inlineStr"/>
      <c r="AE86" s="2" t="inlineStr">
        <is>
          <t>2026-09-30T04:42:51</t>
        </is>
      </c>
    </row>
    <row r="87">
      <c r="A87" s="2" t="inlineStr">
        <is>
          <t>324701</t>
        </is>
      </c>
      <c r="B87" s="2" t="inlineStr">
        <is>
          <t>레져</t>
        </is>
      </c>
      <c r="C87" s="2" t="inlineStr">
        <is>
          <t>크루즈</t>
        </is>
      </c>
      <c r="D87" s="2" t="inlineStr">
        <is>
          <t>서울</t>
        </is>
      </c>
      <c r="E87" s="2" t="inlineStr">
        <is>
          <t>수도권</t>
        </is>
      </c>
      <c r="F87" s="2" t="inlineStr">
        <is>
          <t>여의도</t>
        </is>
      </c>
      <c r="G87" s="2" t="inlineStr">
        <is>
          <t>달빛뮤직/불꽃뮤직/별빛 크루즈</t>
        </is>
      </c>
      <c r="H87" s="2" t="inlineStr">
        <is>
          <t>한강에서 펼쳐지는 이색 경험!</t>
        </is>
      </c>
      <c r="I87" s="2" t="n">
        <v>32900</v>
      </c>
      <c r="J87" s="2" t="n">
        <v>29900</v>
      </c>
      <c r="K87" s="2" t="n">
        <v>9</v>
      </c>
      <c r="L87" s="2" t="inlineStr">
        <is>
          <t>[여의도] 달빛뮤직 크루즈 대인이용권(~10/31)</t>
        </is>
      </c>
      <c r="M87" s="2" t="n">
        <v>6</v>
      </c>
      <c r="N87" s="2" t="inlineStr">
        <is>
          <t>2026-06-01</t>
        </is>
      </c>
      <c r="O87" s="2" t="inlineStr">
        <is>
          <t>2026-10-31</t>
        </is>
      </c>
      <c r="P87" s="2" t="inlineStr"/>
      <c r="Q87" s="2" t="inlineStr">
        <is>
          <t>모바일티켓;예약필수</t>
        </is>
      </c>
      <c r="R87" s="2" t="inlineStr">
        <is>
          <t>예약필수</t>
        </is>
      </c>
      <c r="S87" s="2" t="inlineStr"/>
      <c r="T87" s="2" t="inlineStr">
        <is>
          <t>알림톡</t>
        </is>
      </c>
      <c r="U87" s="2" t="inlineStr">
        <is>
          <t>매표소 교환 / 온라인 예약 / 카카오톡 예약 | 구매 후 발송되는 알림톡 내 링크를 통해 사전예약 후 이용 가능(재발송 가능 상품)</t>
        </is>
      </c>
      <c r="V87" s="2" t="n">
        <v>20</v>
      </c>
      <c r="W87" s="2" t="inlineStr">
        <is>
          <t>수수료: 발송·취소 장당 1,000원, D-1 100% | 불가: 부분취소, 사용·발권 후 | 접수: 유선(주중)</t>
        </is>
      </c>
      <c r="X87" s="2" t="inlineStr">
        <is>
          <t>여의도 크루즈</t>
        </is>
      </c>
      <c r="Y87" s="2" t="inlineStr">
        <is>
          <t>서울특별시 영등포구 여의동로 280 이랜드루즈</t>
        </is>
      </c>
      <c r="Z87" s="2" t="inlineStr">
        <is>
          <t>070-4263-7790</t>
        </is>
      </c>
      <c r="AA87" s="2" t="inlineStr"/>
      <c r="AB87" s="2" t="inlineStr">
        <is>
          <t>예약필수</t>
        </is>
      </c>
      <c r="AC87" s="2" t="inlineStr">
        <is>
          <t>Y</t>
        </is>
      </c>
      <c r="AD87" s="2" t="inlineStr"/>
      <c r="AE87" s="2" t="inlineStr">
        <is>
          <t>2026-09-30T04:42:53</t>
        </is>
      </c>
    </row>
    <row r="88">
      <c r="A88" s="2" t="inlineStr">
        <is>
          <t>324638</t>
        </is>
      </c>
      <c r="B88" s="2" t="inlineStr">
        <is>
          <t>레져</t>
        </is>
      </c>
      <c r="C88" s="2" t="inlineStr">
        <is>
          <t>크루즈</t>
        </is>
      </c>
      <c r="D88" s="2" t="inlineStr">
        <is>
          <t>서울</t>
        </is>
      </c>
      <c r="E88" s="2" t="inlineStr">
        <is>
          <t>수도권</t>
        </is>
      </c>
      <c r="F88" s="2" t="inlineStr">
        <is>
          <t>여의도</t>
        </is>
      </c>
      <c r="G88" s="2" t="inlineStr">
        <is>
          <t>선셋 크루즈</t>
        </is>
      </c>
      <c r="H88" s="2" t="inlineStr">
        <is>
          <t>한강에서 펼쳐지는 이색 경험!</t>
        </is>
      </c>
      <c r="I88" s="2" t="n">
        <v>25900</v>
      </c>
      <c r="J88" s="2" t="n">
        <v>22900</v>
      </c>
      <c r="K88" s="2" t="n">
        <v>12</v>
      </c>
      <c r="L88" s="2" t="inlineStr">
        <is>
          <t>[여의도] 선셋 크루즈 대인이용권(~10/31)</t>
        </is>
      </c>
      <c r="M88" s="2" t="n">
        <v>2</v>
      </c>
      <c r="N88" s="2" t="inlineStr">
        <is>
          <t>2026-09-01</t>
        </is>
      </c>
      <c r="O88" s="2" t="inlineStr">
        <is>
          <t>2026-10-31</t>
        </is>
      </c>
      <c r="P88" s="2" t="inlineStr"/>
      <c r="Q88" s="2" t="inlineStr">
        <is>
          <t>모바일티켓;예약필수</t>
        </is>
      </c>
      <c r="R88" s="2" t="inlineStr">
        <is>
          <t>예약필수</t>
        </is>
      </c>
      <c r="S88" s="2" t="inlineStr"/>
      <c r="T88" s="2" t="inlineStr">
        <is>
          <t>알림톡</t>
        </is>
      </c>
      <c r="U88" s="2" t="inlineStr">
        <is>
          <t>매표소 교환 / 온라인 예약 / 카카오톡 예약 | 구매 후 발송되는 알림톡 내 링크를 통해 사전예약 후 이용 가능(재발송 가능 상품)</t>
        </is>
      </c>
      <c r="V88" s="2" t="n">
        <v>20</v>
      </c>
      <c r="W88" s="2" t="inlineStr">
        <is>
          <t>수수료: 발송·취소 장당 1,000원, D-1 100% | 불가: 부분취소, 사용·발권 후 | 접수: 유선</t>
        </is>
      </c>
      <c r="X88" s="2" t="inlineStr">
        <is>
          <t>여의도 크루즈</t>
        </is>
      </c>
      <c r="Y88" s="2" t="inlineStr">
        <is>
          <t>서울특별시 영등포구 여의동로 280 이랜드루즈</t>
        </is>
      </c>
      <c r="Z88" s="2" t="inlineStr">
        <is>
          <t>070-4263-7790</t>
        </is>
      </c>
      <c r="AA88" s="2" t="inlineStr"/>
      <c r="AB88" s="2" t="inlineStr">
        <is>
          <t>예약필수</t>
        </is>
      </c>
      <c r="AC88" s="2" t="inlineStr">
        <is>
          <t>Y</t>
        </is>
      </c>
      <c r="AD88" s="2" t="inlineStr"/>
      <c r="AE88" s="2" t="inlineStr">
        <is>
          <t>2026-09-30T04:42:56</t>
        </is>
      </c>
    </row>
    <row r="89">
      <c r="A89" s="2" t="inlineStr">
        <is>
          <t>328040</t>
        </is>
      </c>
      <c r="B89" s="2" t="inlineStr">
        <is>
          <t>레져</t>
        </is>
      </c>
      <c r="C89" s="2" t="inlineStr">
        <is>
          <t>크루즈</t>
        </is>
      </c>
      <c r="D89" s="2" t="inlineStr">
        <is>
          <t>서울</t>
        </is>
      </c>
      <c r="E89" s="2" t="inlineStr">
        <is>
          <t>수도권</t>
        </is>
      </c>
      <c r="F89" s="2" t="inlineStr">
        <is>
          <t>여의도</t>
        </is>
      </c>
      <c r="G89" s="2" t="inlineStr">
        <is>
          <t>한강투어 크루즈</t>
        </is>
      </c>
      <c r="H89" s="2" t="inlineStr">
        <is>
          <t>한강에서 펼쳐지는 이색 경험!</t>
        </is>
      </c>
      <c r="I89" s="2" t="n">
        <v>12900</v>
      </c>
      <c r="J89" s="2" t="n">
        <v>10900</v>
      </c>
      <c r="K89" s="2" t="n">
        <v>16</v>
      </c>
      <c r="L89" s="2" t="inlineStr">
        <is>
          <t>[여의도] 한강투어 크루즈 소인이용권(~10/31)</t>
        </is>
      </c>
      <c r="M89" s="2" t="n">
        <v>2</v>
      </c>
      <c r="N89" s="2" t="inlineStr">
        <is>
          <t>2026-05-11</t>
        </is>
      </c>
      <c r="O89" s="2" t="inlineStr">
        <is>
          <t>2026-10-31</t>
        </is>
      </c>
      <c r="P89" s="2" t="inlineStr"/>
      <c r="Q89" s="2" t="inlineStr">
        <is>
          <t>모바일티켓;예약필수</t>
        </is>
      </c>
      <c r="R89" s="2" t="inlineStr">
        <is>
          <t>예약필수</t>
        </is>
      </c>
      <c r="S89" s="2" t="inlineStr"/>
      <c r="T89" s="2" t="inlineStr">
        <is>
          <t>알림톡</t>
        </is>
      </c>
      <c r="U89" s="2" t="inlineStr">
        <is>
          <t>매표소 교환 / 온라인 예약 / 카카오톡 예약 | 구매 후 발송되는 알림톡 내 링크를 통해 사전예약 후 이용 가능(재발송 가능 상품)</t>
        </is>
      </c>
      <c r="V89" s="2" t="n">
        <v>20</v>
      </c>
      <c r="W89" s="2" t="inlineStr">
        <is>
          <t>수수료: 발송·취소 장당 1,000원, D-1 100% | 불가: 부분취소, 사용·발권 후 | 접수: 유선</t>
        </is>
      </c>
      <c r="X89" s="2" t="inlineStr">
        <is>
          <t>여의도 크루즈</t>
        </is>
      </c>
      <c r="Y89" s="2" t="inlineStr">
        <is>
          <t>서울특별시 영등포구 여의동로 280 이랜드루즈</t>
        </is>
      </c>
      <c r="Z89" s="2" t="inlineStr">
        <is>
          <t>070-4263-7790</t>
        </is>
      </c>
      <c r="AA89" s="2" t="inlineStr"/>
      <c r="AB89" s="2" t="inlineStr">
        <is>
          <t>예약필수</t>
        </is>
      </c>
      <c r="AC89" s="2" t="inlineStr">
        <is>
          <t>Y</t>
        </is>
      </c>
      <c r="AD89" s="2" t="inlineStr"/>
      <c r="AE89" s="2" t="inlineStr">
        <is>
          <t>2026-09-30T04:42:58</t>
        </is>
      </c>
    </row>
    <row r="90">
      <c r="A90" s="2" t="inlineStr">
        <is>
          <t>324764</t>
        </is>
      </c>
      <c r="B90" s="2" t="inlineStr">
        <is>
          <t>레져</t>
        </is>
      </c>
      <c r="C90" s="2" t="inlineStr">
        <is>
          <t>크루즈</t>
        </is>
      </c>
      <c r="D90" s="2" t="inlineStr">
        <is>
          <t>서울</t>
        </is>
      </c>
      <c r="E90" s="2" t="inlineStr">
        <is>
          <t>수도권</t>
        </is>
      </c>
      <c r="F90" s="2" t="inlineStr">
        <is>
          <t>잠실</t>
        </is>
      </c>
      <c r="G90" s="2" t="inlineStr">
        <is>
          <t>한강투어 크루즈</t>
        </is>
      </c>
      <c r="H90" s="2" t="inlineStr">
        <is>
          <t>한강에서 펼쳐지는 이색 경험!</t>
        </is>
      </c>
      <c r="I90" s="2" t="n">
        <v>19900</v>
      </c>
      <c r="J90" s="2" t="n">
        <v>10900</v>
      </c>
      <c r="K90" s="2" t="n">
        <v>45</v>
      </c>
      <c r="L90" s="2" t="inlineStr">
        <is>
          <t>[잠실] 한강투어 크루즈 소인이용권(~10/31)</t>
        </is>
      </c>
      <c r="M90" s="2" t="n">
        <v>2</v>
      </c>
      <c r="N90" s="2" t="inlineStr">
        <is>
          <t>구매일</t>
        </is>
      </c>
      <c r="O90" s="2" t="inlineStr">
        <is>
          <t>2026-10-31</t>
        </is>
      </c>
      <c r="P90" s="2" t="inlineStr"/>
      <c r="Q90" s="2" t="inlineStr">
        <is>
          <t>모바일티켓;예약필수</t>
        </is>
      </c>
      <c r="R90" s="2" t="inlineStr">
        <is>
          <t>예약필수</t>
        </is>
      </c>
      <c r="S90" s="2" t="inlineStr"/>
      <c r="T90" s="2" t="inlineStr">
        <is>
          <t>알림톡</t>
        </is>
      </c>
      <c r="U90" s="2" t="inlineStr">
        <is>
          <t>매표소 교환 / 온라인 예약 / 카카오톡 예약 | 구매 후 발송되는 알림톡 내 링크를 통해 사전예약 후 이용 가능(재발송 가능 상품)</t>
        </is>
      </c>
      <c r="V90" s="2" t="n">
        <v>20</v>
      </c>
      <c r="W90" s="2" t="inlineStr">
        <is>
          <t>수수료: 발송·취소 장당 1,000원, D-1 100% | 불가: 부분취소, 사용·발권 후 | 접수: 유선(주중)</t>
        </is>
      </c>
      <c r="X90" s="2" t="inlineStr">
        <is>
          <t>잠실 크루즈</t>
        </is>
      </c>
      <c r="Y90" s="2" t="inlineStr">
        <is>
          <t>서울 송파구 백제고분로 2 잠실 이크루즈</t>
        </is>
      </c>
      <c r="Z90" s="2" t="inlineStr">
        <is>
          <t>02-6291-6900</t>
        </is>
      </c>
      <c r="AA90" s="2" t="inlineStr"/>
      <c r="AB90" s="2" t="inlineStr">
        <is>
          <t>예약필수</t>
        </is>
      </c>
      <c r="AC90" s="2" t="inlineStr">
        <is>
          <t>Y</t>
        </is>
      </c>
      <c r="AD90" s="2" t="inlineStr"/>
      <c r="AE90" s="2" t="inlineStr">
        <is>
          <t>2026-09-30T04:43:01</t>
        </is>
      </c>
    </row>
    <row r="91">
      <c r="A91" s="2" t="inlineStr">
        <is>
          <t>328103</t>
        </is>
      </c>
      <c r="B91" s="2" t="inlineStr">
        <is>
          <t>레져</t>
        </is>
      </c>
      <c r="C91" s="2" t="inlineStr">
        <is>
          <t>크루즈</t>
        </is>
      </c>
      <c r="D91" s="2" t="inlineStr">
        <is>
          <t>서울</t>
        </is>
      </c>
      <c r="E91" s="2" t="inlineStr">
        <is>
          <t>수도권</t>
        </is>
      </c>
      <c r="F91" s="2" t="inlineStr">
        <is>
          <t>잠실</t>
        </is>
      </c>
      <c r="G91" s="2" t="inlineStr">
        <is>
          <t>선셋/달빛뮤직/별빛 크루즈</t>
        </is>
      </c>
      <c r="H91" s="2" t="inlineStr">
        <is>
          <t>한강에서 펼쳐지는 이색 경험!</t>
        </is>
      </c>
      <c r="I91" s="2" t="n">
        <v>23900</v>
      </c>
      <c r="J91" s="2" t="n">
        <v>22900</v>
      </c>
      <c r="K91" s="2" t="n">
        <v>4</v>
      </c>
      <c r="L91" s="2" t="inlineStr">
        <is>
          <t>[잠실] 선셋 크루즈 대인이용권(9/12~10/31)</t>
        </is>
      </c>
      <c r="M91" s="2" t="n">
        <v>6</v>
      </c>
      <c r="N91" s="2" t="inlineStr">
        <is>
          <t>구매일</t>
        </is>
      </c>
      <c r="O91" s="2" t="inlineStr">
        <is>
          <t>2026-10-31</t>
        </is>
      </c>
      <c r="P91" s="2" t="inlineStr"/>
      <c r="Q91" s="2" t="inlineStr">
        <is>
          <t>모바일티켓;예약필수</t>
        </is>
      </c>
      <c r="R91" s="2" t="inlineStr">
        <is>
          <t>예약필수</t>
        </is>
      </c>
      <c r="S91" s="2" t="inlineStr"/>
      <c r="T91" s="2" t="inlineStr">
        <is>
          <t>알림톡</t>
        </is>
      </c>
      <c r="U91" s="2" t="inlineStr">
        <is>
          <t>매표소 교환 / 온라인 예약 / 카카오톡 예약 | 구매 후 발송되는 알림톡 내 링크를 통해 사전예약 후 이용 가능(재발송 가능 상품)</t>
        </is>
      </c>
      <c r="V91" s="2" t="n">
        <v>20</v>
      </c>
      <c r="W91" s="2" t="inlineStr">
        <is>
          <t>수수료: 발송·취소 장당 1,000원, D-1 100% | 불가: 부분취소, 사용·발권 후 | 접수: 유선(주중)</t>
        </is>
      </c>
      <c r="X91" s="2" t="inlineStr">
        <is>
          <t>잠실 크루즈</t>
        </is>
      </c>
      <c r="Y91" s="2" t="inlineStr">
        <is>
          <t>서울 송파구 백제고분로 2 잠실 이크루즈</t>
        </is>
      </c>
      <c r="Z91" s="2" t="inlineStr">
        <is>
          <t>02-6291-6900</t>
        </is>
      </c>
      <c r="AA91" s="2" t="inlineStr"/>
      <c r="AB91" s="2" t="inlineStr">
        <is>
          <t>예약필수</t>
        </is>
      </c>
      <c r="AC91" s="2" t="inlineStr">
        <is>
          <t>Y</t>
        </is>
      </c>
      <c r="AD91" s="2" t="inlineStr"/>
      <c r="AE91" s="2" t="inlineStr">
        <is>
          <t>2026-09-30T04:43:03</t>
        </is>
      </c>
    </row>
    <row r="92">
      <c r="A92" s="2" t="inlineStr">
        <is>
          <t>225209</t>
        </is>
      </c>
      <c r="B92" s="2" t="inlineStr">
        <is>
          <t>레져</t>
        </is>
      </c>
      <c r="C92" s="2" t="inlineStr">
        <is>
          <t>액티비티</t>
        </is>
      </c>
      <c r="D92" s="2" t="inlineStr">
        <is>
          <t>경기</t>
        </is>
      </c>
      <c r="E92" s="2" t="inlineStr">
        <is>
          <t>수도권</t>
        </is>
      </c>
      <c r="F92" s="2" t="inlineStr">
        <is>
          <t>김포</t>
        </is>
      </c>
      <c r="G92" s="2" t="inlineStr">
        <is>
          <t>아라마리나 요트투어</t>
        </is>
      </c>
      <c r="H92" s="2" t="inlineStr">
        <is>
          <t>서울 바다에서 즐기는 특별한 여정</t>
        </is>
      </c>
      <c r="I92" s="2" t="n">
        <v>0</v>
      </c>
      <c r="J92" s="2" t="n">
        <v>57000</v>
      </c>
      <c r="K92" s="2" t="n">
        <v>0</v>
      </c>
      <c r="L92" s="2" t="inlineStr">
        <is>
          <t>대인/소인/주중/주말</t>
        </is>
      </c>
      <c r="M92" s="2" t="n">
        <v>7</v>
      </c>
      <c r="N92" s="2" t="inlineStr">
        <is>
          <t>구매일</t>
        </is>
      </c>
      <c r="O92" s="2" t="inlineStr"/>
      <c r="P92" s="2" t="inlineStr">
        <is>
          <t>60</t>
        </is>
      </c>
      <c r="Q92" s="2" t="inlineStr">
        <is>
          <t>모바일티켓;예약필수</t>
        </is>
      </c>
      <c r="R92" s="2" t="inlineStr">
        <is>
          <t>예약필수</t>
        </is>
      </c>
      <c r="S92" s="2" t="inlineStr"/>
      <c r="T92" s="2" t="inlineStr">
        <is>
          <t>LMS 문자</t>
        </is>
      </c>
      <c r="U92" s="2" t="inlineStr">
        <is>
          <t>전화 예약 | 사전예약 후 방문</t>
        </is>
      </c>
      <c r="V92" s="2" t="n">
        <v>100</v>
      </c>
      <c r="W92" s="2" t="inlineStr">
        <is>
          <t>기한: 수령 후 7일 이내 | 수수료: 발송·취소 장당 1,000원 | 불가: 부분취소, 기간경과, 당일·노쇼 | 접수: 유선</t>
        </is>
      </c>
      <c r="X92" s="2" t="inlineStr">
        <is>
          <t>세일링 서울 요트 클럽</t>
        </is>
      </c>
      <c r="Y92" s="2" t="inlineStr">
        <is>
          <t>경기도 김포시 고촌읍 전호리 130-3</t>
        </is>
      </c>
      <c r="Z92" s="2" t="inlineStr">
        <is>
          <t>010-7110-6681</t>
        </is>
      </c>
      <c r="AA92" s="2" t="inlineStr">
        <is>
          <t>http://sailingseoul.com/</t>
        </is>
      </c>
      <c r="AB92" s="2" t="inlineStr">
        <is>
          <t>예약필수</t>
        </is>
      </c>
      <c r="AC92" s="2" t="inlineStr">
        <is>
          <t>N</t>
        </is>
      </c>
      <c r="AD92" s="2" t="inlineStr"/>
      <c r="AE92" s="2" t="inlineStr">
        <is>
          <t>2026-09-30T04:43:06</t>
        </is>
      </c>
    </row>
    <row r="93">
      <c r="A93" s="2" t="inlineStr">
        <is>
          <t>243104</t>
        </is>
      </c>
      <c r="B93" s="2" t="inlineStr">
        <is>
          <t>레져</t>
        </is>
      </c>
      <c r="C93" s="2" t="inlineStr">
        <is>
          <t>액티비티</t>
        </is>
      </c>
      <c r="D93" s="2" t="inlineStr">
        <is>
          <t>강원</t>
        </is>
      </c>
      <c r="E93" s="2" t="inlineStr">
        <is>
          <t>강원</t>
        </is>
      </c>
      <c r="F93" s="2" t="inlineStr">
        <is>
          <t>춘천</t>
        </is>
      </c>
      <c r="G93" s="2" t="inlineStr">
        <is>
          <t>곤돌라 의암8경 물길여행</t>
        </is>
      </c>
      <c r="H93" s="2" t="inlineStr">
        <is>
          <t>호반의 도시 춘천에서 즐기는 물 위를 걷는 여행</t>
        </is>
      </c>
      <c r="I93" s="2" t="n">
        <v>20000</v>
      </c>
      <c r="J93" s="2" t="n">
        <v>19000</v>
      </c>
      <c r="K93" s="2" t="n">
        <v>5</v>
      </c>
      <c r="L93" s="2" t="inlineStr">
        <is>
          <t>의암8경 청소년이용권 춘천곤돌라</t>
        </is>
      </c>
      <c r="M93" s="2" t="n">
        <v>3</v>
      </c>
      <c r="N93" s="2" t="inlineStr">
        <is>
          <t>구매일</t>
        </is>
      </c>
      <c r="O93" s="2" t="inlineStr"/>
      <c r="P93" s="2" t="inlineStr">
        <is>
          <t>60</t>
        </is>
      </c>
      <c r="Q93" s="2" t="inlineStr">
        <is>
          <t>모바일티켓;예약필수</t>
        </is>
      </c>
      <c r="R93" s="2" t="inlineStr">
        <is>
          <t>예약대기</t>
        </is>
      </c>
      <c r="S93" s="2" t="inlineStr"/>
      <c r="T93" s="2" t="inlineStr">
        <is>
          <t>LMS 문자</t>
        </is>
      </c>
      <c r="U93" s="2" t="inlineStr">
        <is>
          <t>전화 예약 / 온라인 예약 | 사전예약 후 방문</t>
        </is>
      </c>
      <c r="V93" s="2" t="n">
        <v>100</v>
      </c>
      <c r="W93" s="2" t="inlineStr">
        <is>
          <t>수수료: D-7 기본수수료, D-6 10%, D-3 30%, D-1 50% | 불가: 당일·노쇼 | 접수: 유선</t>
        </is>
      </c>
      <c r="X93" s="2" t="inlineStr">
        <is>
          <t>킹카누 나루터</t>
        </is>
      </c>
      <c r="Y93" s="2" t="inlineStr">
        <is>
          <t>강원도 춘천시 송암동 684 킹카누 선착장</t>
        </is>
      </c>
      <c r="Z93" s="2" t="inlineStr">
        <is>
          <t>033-251-9600/kingcanoe@naver.com</t>
        </is>
      </c>
      <c r="AA93" s="2" t="inlineStr">
        <is>
          <t>https://map.naver.com/p/entry/place/1435007950?lng=127.6858444&amp;lat=37.8554530&amp;placePath=%2Fhome%3Fentry%3Dplt&amp;c=15.00,0,0,0,dh</t>
        </is>
      </c>
      <c r="AB93" s="2" t="inlineStr">
        <is>
          <t>예약필수</t>
        </is>
      </c>
      <c r="AC93" s="2" t="inlineStr">
        <is>
          <t>Y</t>
        </is>
      </c>
      <c r="AD93" s="2" t="inlineStr"/>
      <c r="AE93" s="2" t="inlineStr">
        <is>
          <t>2026-09-30T04:43:08</t>
        </is>
      </c>
    </row>
    <row r="94">
      <c r="A94" s="2" t="inlineStr">
        <is>
          <t>292493</t>
        </is>
      </c>
      <c r="B94" s="2" t="inlineStr">
        <is>
          <t>레져</t>
        </is>
      </c>
      <c r="C94" s="2" t="inlineStr">
        <is>
          <t>크루즈</t>
        </is>
      </c>
      <c r="D94" s="2" t="inlineStr">
        <is>
          <t>강원</t>
        </is>
      </c>
      <c r="E94" s="2" t="inlineStr">
        <is>
          <t>강원</t>
        </is>
      </c>
      <c r="F94" s="2" t="inlineStr">
        <is>
          <t>속초</t>
        </is>
      </c>
      <c r="G94" s="2" t="inlineStr">
        <is>
          <t>코마린 세일요트</t>
        </is>
      </c>
      <c r="H94" s="2" t="inlineStr">
        <is>
          <t>푸른 동해바다의 시원한 체험!</t>
        </is>
      </c>
      <c r="I94" s="2" t="n">
        <v>36000</v>
      </c>
      <c r="J94" s="2" t="n">
        <v>30000</v>
      </c>
      <c r="K94" s="2" t="n">
        <v>17</v>
      </c>
      <c r="L94" s="2" t="inlineStr">
        <is>
          <t>B코스 대인이용권 속초코마린</t>
        </is>
      </c>
      <c r="M94" s="2" t="n">
        <v>2</v>
      </c>
      <c r="N94" s="2" t="inlineStr">
        <is>
          <t>구매일</t>
        </is>
      </c>
      <c r="O94" s="2" t="inlineStr"/>
      <c r="P94" s="2" t="inlineStr">
        <is>
          <t>60</t>
        </is>
      </c>
      <c r="Q94" s="2" t="inlineStr">
        <is>
          <t>모바일티켓;예약필수</t>
        </is>
      </c>
      <c r="R94" s="2" t="inlineStr">
        <is>
          <t>예약대기</t>
        </is>
      </c>
      <c r="S94" s="2" t="inlineStr"/>
      <c r="T94" s="2" t="inlineStr">
        <is>
          <t>LMS 문자</t>
        </is>
      </c>
      <c r="U94" s="2" t="inlineStr">
        <is>
          <t>전화 예약 | 사전예약 후 방문</t>
        </is>
      </c>
      <c r="V94" s="2" t="n">
        <v>100</v>
      </c>
      <c r="W94" s="2" t="inlineStr">
        <is>
          <t>수수료: D-2 기본수수료, D-2 30%, D-1 50% | 불가: 당일·노쇼 | 접수: 유선</t>
        </is>
      </c>
      <c r="X94" s="2" t="inlineStr">
        <is>
          <t>속초코마린</t>
        </is>
      </c>
      <c r="Y94" s="2" t="inlineStr">
        <is>
          <t>강원 속초시 엑스포로 10-29 (주)코마린 요트공원</t>
        </is>
      </c>
      <c r="Z94" s="2" t="inlineStr">
        <is>
          <t>033-637-4609</t>
        </is>
      </c>
      <c r="AA94" s="2" t="inlineStr">
        <is>
          <t>http://www.komarine.kr/sub/leisure/sokcho.asp</t>
        </is>
      </c>
      <c r="AB94" s="2" t="inlineStr">
        <is>
          <t>예약필수</t>
        </is>
      </c>
      <c r="AC94" s="2" t="inlineStr">
        <is>
          <t>Y</t>
        </is>
      </c>
      <c r="AD94" s="2" t="inlineStr"/>
      <c r="AE94" s="2" t="inlineStr">
        <is>
          <t>2026-09-30T04:43:10</t>
        </is>
      </c>
    </row>
    <row r="95">
      <c r="A95" s="2" t="inlineStr">
        <is>
          <t>292556</t>
        </is>
      </c>
      <c r="B95" s="2" t="inlineStr">
        <is>
          <t>레져</t>
        </is>
      </c>
      <c r="C95" s="2" t="inlineStr">
        <is>
          <t>크루즈</t>
        </is>
      </c>
      <c r="D95" s="2" t="inlineStr">
        <is>
          <t>강원</t>
        </is>
      </c>
      <c r="E95" s="2" t="inlineStr">
        <is>
          <t>강원</t>
        </is>
      </c>
      <c r="F95" s="2" t="inlineStr">
        <is>
          <t>속초</t>
        </is>
      </c>
      <c r="G95" s="2" t="inlineStr">
        <is>
          <t>코마린 세일요트 단독투어</t>
        </is>
      </c>
      <c r="H95" s="2" t="inlineStr">
        <is>
          <t>푸른 동해바다의 시원한 체험!</t>
        </is>
      </c>
      <c r="I95" s="2" t="n">
        <v>250000</v>
      </c>
      <c r="J95" s="2" t="n">
        <v>210000</v>
      </c>
      <c r="K95" s="2" t="n">
        <v>16</v>
      </c>
      <c r="L95" s="2" t="inlineStr">
        <is>
          <t>세일요트 단독투어 속초코마린</t>
        </is>
      </c>
      <c r="M95" s="2" t="n">
        <v>1</v>
      </c>
      <c r="N95" s="2" t="inlineStr">
        <is>
          <t>구매일</t>
        </is>
      </c>
      <c r="O95" s="2" t="inlineStr"/>
      <c r="P95" s="2" t="inlineStr">
        <is>
          <t>60</t>
        </is>
      </c>
      <c r="Q95" s="2" t="inlineStr">
        <is>
          <t>모바일티켓;예약필수</t>
        </is>
      </c>
      <c r="R95" s="2" t="inlineStr">
        <is>
          <t>예약대기</t>
        </is>
      </c>
      <c r="S95" s="2" t="inlineStr"/>
      <c r="T95" s="2" t="inlineStr">
        <is>
          <t>LMS 문자</t>
        </is>
      </c>
      <c r="U95" s="2" t="inlineStr">
        <is>
          <t>전화 예약 | 사전예약 후 방문</t>
        </is>
      </c>
      <c r="V95" s="2" t="n">
        <v>100</v>
      </c>
      <c r="W95" s="2" t="inlineStr">
        <is>
          <t>수수료: D-2 기본수수료, D-2 30%, D-1 50% | 불가: 당일·노쇼 | 접수: 유선</t>
        </is>
      </c>
      <c r="X95" s="2" t="inlineStr">
        <is>
          <t>속초코마린</t>
        </is>
      </c>
      <c r="Y95" s="2" t="inlineStr">
        <is>
          <t>강원 속초시 엑스포로 10-29 (주)코마린 요트공원</t>
        </is>
      </c>
      <c r="Z95" s="2" t="inlineStr">
        <is>
          <t>033-637-4609</t>
        </is>
      </c>
      <c r="AA95" s="2" t="inlineStr">
        <is>
          <t>http://www.komarine.kr/sub/leisure/sokcho.asp</t>
        </is>
      </c>
      <c r="AB95" s="2" t="inlineStr">
        <is>
          <t>예약필수</t>
        </is>
      </c>
      <c r="AC95" s="2" t="inlineStr">
        <is>
          <t>Y</t>
        </is>
      </c>
      <c r="AD95" s="2" t="inlineStr"/>
      <c r="AE95" s="2" t="inlineStr">
        <is>
          <t>2026-09-30T04:43:13</t>
        </is>
      </c>
    </row>
    <row r="96">
      <c r="A96" s="2" t="inlineStr">
        <is>
          <t>225217</t>
        </is>
      </c>
      <c r="B96" s="2" t="inlineStr">
        <is>
          <t>레져</t>
        </is>
      </c>
      <c r="C96" s="2" t="inlineStr">
        <is>
          <t>액티비티</t>
        </is>
      </c>
      <c r="D96" s="2" t="inlineStr">
        <is>
          <t>경기</t>
        </is>
      </c>
      <c r="E96" s="2" t="inlineStr">
        <is>
          <t>수도권</t>
        </is>
      </c>
      <c r="F96" s="2" t="inlineStr">
        <is>
          <t>양평</t>
        </is>
      </c>
      <c r="G96" s="2" t="inlineStr">
        <is>
          <t>패러러브 패러글라이딩</t>
        </is>
      </c>
      <c r="H96" s="2" t="inlineStr">
        <is>
          <t>일생 일대의 추억을 영원히 보관하고 싶다면!</t>
        </is>
      </c>
      <c r="I96" s="2" t="n">
        <v>140000</v>
      </c>
      <c r="J96" s="2" t="n">
        <v>130000</v>
      </c>
      <c r="K96" s="2" t="n">
        <v>7</v>
      </c>
      <c r="L96" s="2" t="inlineStr">
        <is>
          <t>기본코스 이용권</t>
        </is>
      </c>
      <c r="M96" s="2" t="n">
        <v>2</v>
      </c>
      <c r="N96" s="2" t="inlineStr">
        <is>
          <t>구매일</t>
        </is>
      </c>
      <c r="O96" s="2" t="inlineStr"/>
      <c r="P96" s="2" t="inlineStr">
        <is>
          <t>60</t>
        </is>
      </c>
      <c r="Q96" s="2" t="inlineStr">
        <is>
          <t>모바일티켓;예약필수</t>
        </is>
      </c>
      <c r="R96" s="2" t="inlineStr">
        <is>
          <t>예약필수</t>
        </is>
      </c>
      <c r="S96" s="2" t="inlineStr"/>
      <c r="T96" s="2" t="inlineStr">
        <is>
          <t>LMS 문자</t>
        </is>
      </c>
      <c r="U96" s="2" t="inlineStr">
        <is>
          <t>전화 예약 | 사전예약 후 방문</t>
        </is>
      </c>
      <c r="V96" s="2" t="n">
        <v>10</v>
      </c>
      <c r="W96" s="2" t="inlineStr">
        <is>
          <t>기한: 수령 후 7일 이내 | 수수료: 발송·취소 장당 1,000원, D-3 기본수수료, D-2 30%, D-1 50% | 불가: 부분취소, 기간경과, 당일·노쇼 | 접수: 유선</t>
        </is>
      </c>
      <c r="X96" s="2" t="inlineStr">
        <is>
          <t>패러러브 양평 패러글라이딩</t>
        </is>
      </c>
      <c r="Y96" s="2" t="inlineStr">
        <is>
          <t>경기도 양평군 옥천면 신복리 158번지</t>
        </is>
      </c>
      <c r="Z96" s="2" t="inlineStr">
        <is>
          <t>010-4255-1102</t>
        </is>
      </c>
      <c r="AA96" s="2" t="inlineStr">
        <is>
          <t>https://para114.com/</t>
        </is>
      </c>
      <c r="AB96" s="2" t="inlineStr">
        <is>
          <t>예약필수</t>
        </is>
      </c>
      <c r="AC96" s="2" t="inlineStr">
        <is>
          <t>Y</t>
        </is>
      </c>
      <c r="AD96" s="2" t="inlineStr"/>
      <c r="AE96" s="2" t="inlineStr">
        <is>
          <t>2026-09-30T04:43:15</t>
        </is>
      </c>
    </row>
    <row r="97">
      <c r="A97" s="2" t="inlineStr">
        <is>
          <t>225212</t>
        </is>
      </c>
      <c r="B97" s="2" t="inlineStr">
        <is>
          <t>레져</t>
        </is>
      </c>
      <c r="C97" s="2" t="inlineStr">
        <is>
          <t>액티비티</t>
        </is>
      </c>
      <c r="D97" s="2" t="inlineStr">
        <is>
          <t>충북</t>
        </is>
      </c>
      <c r="E97" s="2" t="inlineStr">
        <is>
          <t>충청</t>
        </is>
      </c>
      <c r="F97" s="2" t="inlineStr">
        <is>
          <t>단양</t>
        </is>
      </c>
      <c r="G97" s="2" t="inlineStr">
        <is>
          <t>더쎈 패러글라이딩</t>
        </is>
      </c>
      <c r="H97" s="2" t="inlineStr">
        <is>
          <t>안전하고 짜릿한 고공비행을 즐기다</t>
        </is>
      </c>
      <c r="I97" s="2" t="n">
        <v>120000</v>
      </c>
      <c r="J97" s="2" t="n">
        <v>105000</v>
      </c>
      <c r="K97" s="2" t="n">
        <v>12</v>
      </c>
      <c r="L97" s="2" t="inlineStr">
        <is>
          <t>더쎈 익스트림코스</t>
        </is>
      </c>
      <c r="M97" s="2" t="n">
        <v>2</v>
      </c>
      <c r="N97" s="2" t="inlineStr">
        <is>
          <t>구매일</t>
        </is>
      </c>
      <c r="O97" s="2" t="inlineStr"/>
      <c r="P97" s="2" t="inlineStr">
        <is>
          <t>60</t>
        </is>
      </c>
      <c r="Q97" s="2" t="inlineStr">
        <is>
          <t>모바일티켓;예약필수</t>
        </is>
      </c>
      <c r="R97" s="2" t="inlineStr">
        <is>
          <t>예약필수</t>
        </is>
      </c>
      <c r="S97" s="2" t="inlineStr"/>
      <c r="T97" s="2" t="inlineStr"/>
      <c r="U97" s="2" t="inlineStr">
        <is>
          <t>전화 예약</t>
        </is>
      </c>
      <c r="V97" s="2" t="n">
        <v>10</v>
      </c>
      <c r="W97" s="2" t="inlineStr">
        <is>
          <t>기한: 수령 후 7일 이내 | 수수료: 발송·취소 장당 1,000원, D-3 기본수수료, D-2 30%, D-1 50% | 불가: 부분취소, 기간경과, 당일·노쇼 | 접수: 유선</t>
        </is>
      </c>
      <c r="X97" s="2" t="inlineStr">
        <is>
          <t>더쎈패러글라이딩</t>
        </is>
      </c>
      <c r="Y97" s="2" t="inlineStr">
        <is>
          <t>충북 단양군 가곡면 두산길 262</t>
        </is>
      </c>
      <c r="Z97" s="2" t="inlineStr">
        <is>
          <t>010-3710-2676</t>
        </is>
      </c>
      <c r="AA97" s="2" t="inlineStr">
        <is>
          <t>http://thessenpara.com/about</t>
        </is>
      </c>
      <c r="AB97" s="2" t="inlineStr">
        <is>
          <t>예약필수</t>
        </is>
      </c>
      <c r="AC97" s="2" t="inlineStr">
        <is>
          <t>Y</t>
        </is>
      </c>
      <c r="AD97" s="2" t="inlineStr"/>
      <c r="AE97" s="2" t="inlineStr">
        <is>
          <t>2026-09-30T04:43:18</t>
        </is>
      </c>
    </row>
    <row r="98">
      <c r="A98" s="2" t="inlineStr">
        <is>
          <t>326843</t>
        </is>
      </c>
      <c r="B98" s="2" t="inlineStr">
        <is>
          <t>레져</t>
        </is>
      </c>
      <c r="C98" s="2" t="inlineStr">
        <is>
          <t>액티비티</t>
        </is>
      </c>
      <c r="D98" s="2" t="inlineStr">
        <is>
          <t>경남</t>
        </is>
      </c>
      <c r="E98" s="2" t="inlineStr">
        <is>
          <t>영남</t>
        </is>
      </c>
      <c r="F98" s="2" t="inlineStr">
        <is>
          <t>경남</t>
        </is>
      </c>
      <c r="G98" s="2" t="inlineStr">
        <is>
          <t>통영 케이블카 패키지</t>
        </is>
      </c>
      <c r="H98" s="2" t="inlineStr">
        <is>
          <t>통영 미륵산의 아름다운 한려수도 경치 감상!</t>
        </is>
      </c>
      <c r="I98" s="2" t="n">
        <v>32000</v>
      </c>
      <c r="J98" s="2" t="n">
        <v>22100</v>
      </c>
      <c r="K98" s="2" t="n">
        <v>31</v>
      </c>
      <c r="L98" s="2" t="inlineStr">
        <is>
          <t>케이블카 1회왕복+디피랑(~9/30)</t>
        </is>
      </c>
      <c r="M98" s="2" t="n">
        <v>1</v>
      </c>
      <c r="N98" s="2" t="inlineStr">
        <is>
          <t>2026-05-08</t>
        </is>
      </c>
      <c r="O98" s="2" t="inlineStr">
        <is>
          <t>2026-09-30</t>
        </is>
      </c>
      <c r="P98" s="2" t="inlineStr"/>
      <c r="Q98" s="2" t="inlineStr">
        <is>
          <t>모바일티켓;바로 사용가능</t>
        </is>
      </c>
      <c r="R98" s="2" t="inlineStr">
        <is>
          <t>즉시발송</t>
        </is>
      </c>
      <c r="S98" s="2" t="inlineStr">
        <is>
          <t>엘에스컴퍼니</t>
        </is>
      </c>
      <c r="T98" s="2" t="inlineStr">
        <is>
          <t>알림톡</t>
        </is>
      </c>
      <c r="U98" s="2" t="inlineStr">
        <is>
          <t>매표소 교환 / 바로 입장 | 모바일 이용권 현장 매표소 제시 후 이용 가능(재발송 가능 상품)</t>
        </is>
      </c>
      <c r="V98" s="2" t="n">
        <v>20</v>
      </c>
      <c r="W98" s="2" t="inlineStr">
        <is>
          <t>기한: 수령 후 7일 이내 | 수수료: 발송·취소 장당 1,000원 | 불가: 부분취소, 기간경과 | 접수: 유선(주중)</t>
        </is>
      </c>
      <c r="X98" s="2" t="inlineStr">
        <is>
          <t>통영 케이블카</t>
        </is>
      </c>
      <c r="Y98" s="2" t="inlineStr">
        <is>
          <t>경남 통영시 발개로 205</t>
        </is>
      </c>
      <c r="Z98" s="2" t="inlineStr">
        <is>
          <t>1544-3303</t>
        </is>
      </c>
      <c r="AA98" s="2" t="inlineStr"/>
      <c r="AB98" s="2" t="inlineStr">
        <is>
          <t>바로 사용가능</t>
        </is>
      </c>
      <c r="AC98" s="2" t="inlineStr">
        <is>
          <t>Y</t>
        </is>
      </c>
      <c r="AD98" s="2" t="inlineStr"/>
      <c r="AE98" s="2" t="inlineStr">
        <is>
          <t>2026-09-30T04:43:20</t>
        </is>
      </c>
    </row>
    <row r="99">
      <c r="A99" s="2" t="inlineStr">
        <is>
          <t>316426</t>
        </is>
      </c>
      <c r="B99" s="2" t="inlineStr">
        <is>
          <t>레져</t>
        </is>
      </c>
      <c r="C99" s="2" t="inlineStr">
        <is>
          <t>액티비티</t>
        </is>
      </c>
      <c r="D99" s="2" t="inlineStr">
        <is>
          <t>강원</t>
        </is>
      </c>
      <c r="E99" s="2" t="inlineStr">
        <is>
          <t>강원</t>
        </is>
      </c>
      <c r="F99" s="2" t="inlineStr">
        <is>
          <t>철원</t>
        </is>
      </c>
      <c r="G99" s="2" t="inlineStr">
        <is>
          <t>한레저</t>
        </is>
      </c>
      <c r="H99" s="2" t="inlineStr">
        <is>
          <t>추억을 쌓으러 가보자~!!!</t>
        </is>
      </c>
      <c r="I99" s="2" t="n">
        <v>36000</v>
      </c>
      <c r="J99" s="2" t="n">
        <v>25000</v>
      </c>
      <c r="K99" s="2" t="n">
        <v>31</v>
      </c>
      <c r="L99" s="2" t="inlineStr">
        <is>
          <t>래프팅or서바이벌 中 택1 체험권 한레저(~9/30)</t>
        </is>
      </c>
      <c r="M99" s="2" t="n">
        <v>2</v>
      </c>
      <c r="N99" s="2" t="inlineStr">
        <is>
          <t>구매일</t>
        </is>
      </c>
      <c r="O99" s="2" t="inlineStr">
        <is>
          <t>2026-09-30</t>
        </is>
      </c>
      <c r="P99" s="2" t="inlineStr"/>
      <c r="Q99" s="2" t="inlineStr">
        <is>
          <t>모바일티켓;예약필수</t>
        </is>
      </c>
      <c r="R99" s="2" t="inlineStr">
        <is>
          <t>예약필수</t>
        </is>
      </c>
      <c r="S99" s="2" t="inlineStr"/>
      <c r="T99" s="2" t="inlineStr">
        <is>
          <t>LMS 문자</t>
        </is>
      </c>
      <c r="U99" s="2" t="inlineStr">
        <is>
          <t>전화 예약 / 바로 입장 | 사전예약 후 방문</t>
        </is>
      </c>
      <c r="V99" s="2" t="n">
        <v>100</v>
      </c>
      <c r="W99" s="2" t="inlineStr">
        <is>
          <t>기한: 수령 후 7일 이내 | 수수료: 발송·취소 장당 1,000원, D-5 기본수수료, D-2 30%, D-1 50% | 불가: 부분취소, 기간경과, 당일·노쇼 | 접수: 유선</t>
        </is>
      </c>
      <c r="X99" s="2" t="inlineStr">
        <is>
          <t>한탄강캠프</t>
        </is>
      </c>
      <c r="Y99" s="2" t="inlineStr">
        <is>
          <t>강원 철원군 갈말읍 갈말로 358 태봉캠핑장</t>
        </is>
      </c>
      <c r="Z99" s="2" t="inlineStr">
        <is>
          <t>033-452-7355 / 010-5556-5041</t>
        </is>
      </c>
      <c r="AA99" s="2" t="inlineStr">
        <is>
          <t>http://lshc.kr</t>
        </is>
      </c>
      <c r="AB99" s="2" t="inlineStr">
        <is>
          <t>예약필수</t>
        </is>
      </c>
      <c r="AC99" s="2" t="inlineStr">
        <is>
          <t>Y</t>
        </is>
      </c>
      <c r="AD99" s="2" t="inlineStr"/>
      <c r="AE99" s="2" t="inlineStr">
        <is>
          <t>2026-09-30T04:43:22</t>
        </is>
      </c>
    </row>
    <row r="100">
      <c r="A100" s="2" t="inlineStr">
        <is>
          <t>274453</t>
        </is>
      </c>
      <c r="B100" s="2" t="inlineStr">
        <is>
          <t>레져</t>
        </is>
      </c>
      <c r="C100" s="2" t="inlineStr">
        <is>
          <t>액티비티</t>
        </is>
      </c>
      <c r="D100" s="2" t="inlineStr">
        <is>
          <t>제주</t>
        </is>
      </c>
      <c r="E100" s="2" t="inlineStr">
        <is>
          <t>제주</t>
        </is>
      </c>
      <c r="F100" s="2" t="inlineStr">
        <is>
          <t>제주</t>
        </is>
      </c>
      <c r="G100" s="2" t="inlineStr">
        <is>
          <t>제주레일바이크</t>
        </is>
      </c>
      <c r="H100" s="2" t="inlineStr">
        <is>
          <t>낭만 가득 제주여행의 끝판왕!</t>
        </is>
      </c>
      <c r="I100" s="2" t="n">
        <v>30000</v>
      </c>
      <c r="J100" s="2" t="n">
        <v>21700</v>
      </c>
      <c r="K100" s="2" t="n">
        <v>28</v>
      </c>
      <c r="L100" s="2" t="inlineStr">
        <is>
          <t>2인 이용권 제주레일바이크</t>
        </is>
      </c>
      <c r="M100" s="2" t="n">
        <v>3</v>
      </c>
      <c r="N100" s="2" t="inlineStr">
        <is>
          <t>구매일</t>
        </is>
      </c>
      <c r="O100" s="2" t="inlineStr"/>
      <c r="P100" s="2" t="inlineStr">
        <is>
          <t>60</t>
        </is>
      </c>
      <c r="Q100" s="2" t="inlineStr">
        <is>
          <t>모바일티켓;예약필수</t>
        </is>
      </c>
      <c r="R100" s="2" t="inlineStr">
        <is>
          <t>예약필수</t>
        </is>
      </c>
      <c r="S100" s="2" t="inlineStr"/>
      <c r="T100" s="2" t="inlineStr">
        <is>
          <t>LMS 문자/순차 발송</t>
        </is>
      </c>
      <c r="U100" s="2" t="inlineStr">
        <is>
          <t>전화 예약 / 바로 입장 | 사전 예약 후 방문</t>
        </is>
      </c>
      <c r="V100" s="2" t="n">
        <v>20</v>
      </c>
      <c r="W100" s="2" t="inlineStr">
        <is>
          <t>수수료: D-3 기본수수료, D-2 20%, D-1 30%, 50% | 불가: 당일·노쇼 | 접수: 유선</t>
        </is>
      </c>
      <c r="X100" s="2" t="inlineStr">
        <is>
          <t>제주 레일바이크</t>
        </is>
      </c>
      <c r="Y100" s="2" t="inlineStr">
        <is>
          <t>제주특별자치도 제주시 구좌읍 용눈이오름로 641</t>
        </is>
      </c>
      <c r="Z100" s="2" t="inlineStr">
        <is>
          <t>064-783-0033</t>
        </is>
      </c>
      <c r="AA100" s="2" t="inlineStr">
        <is>
          <t>http://www.jejurailpark.com/m/index.php</t>
        </is>
      </c>
      <c r="AB100" s="2" t="inlineStr">
        <is>
          <t>예약필수</t>
        </is>
      </c>
      <c r="AC100" s="2" t="inlineStr">
        <is>
          <t>Y</t>
        </is>
      </c>
      <c r="AD100" s="2" t="inlineStr"/>
      <c r="AE100" s="2" t="inlineStr">
        <is>
          <t>2026-09-30T04:43:25</t>
        </is>
      </c>
    </row>
    <row r="101">
      <c r="A101" s="2" t="inlineStr">
        <is>
          <t>225256</t>
        </is>
      </c>
      <c r="B101" s="2" t="inlineStr">
        <is>
          <t>헬스&amp;푸드</t>
        </is>
      </c>
      <c r="C101" s="2" t="inlineStr">
        <is>
          <t>푸드</t>
        </is>
      </c>
      <c r="D101" s="2" t="inlineStr">
        <is>
          <t>서울</t>
        </is>
      </c>
      <c r="E101" s="2" t="inlineStr">
        <is>
          <t>수도권</t>
        </is>
      </c>
      <c r="F101" s="2" t="inlineStr">
        <is>
          <t>서울</t>
        </is>
      </c>
      <c r="G101" s="2" t="inlineStr">
        <is>
          <t>노량진 충남상회 모듬회</t>
        </is>
      </c>
      <c r="H101" s="2" t="inlineStr">
        <is>
          <t>노량진 수산물도매시장 1층 활어136호 충남상회</t>
        </is>
      </c>
      <c r="I101" s="2" t="n">
        <v>0</v>
      </c>
      <c r="J101" s="2" t="n">
        <v>60000</v>
      </c>
      <c r="K101" s="2" t="n">
        <v>0</v>
      </c>
      <c r="L101" s="2" t="inlineStr">
        <is>
          <t>모듬회 소(2인) 충남상회(* 전화예약 및 직접결제)</t>
        </is>
      </c>
      <c r="M101" s="2" t="n">
        <v>6</v>
      </c>
      <c r="N101" s="2" t="inlineStr">
        <is>
          <t>구매일</t>
        </is>
      </c>
      <c r="O101" s="2" t="inlineStr"/>
      <c r="P101" s="2" t="inlineStr">
        <is>
          <t>0</t>
        </is>
      </c>
      <c r="Q101" s="2" t="inlineStr">
        <is>
          <t>직접수령;광고상품</t>
        </is>
      </c>
      <c r="R101" s="2" t="inlineStr">
        <is>
          <t>광고상품</t>
        </is>
      </c>
      <c r="S101" s="2" t="inlineStr"/>
      <c r="T101" s="2" t="inlineStr"/>
      <c r="U101" s="2" t="inlineStr">
        <is>
          <t>전화 예약</t>
        </is>
      </c>
      <c r="V101" s="2" t="n">
        <v>10</v>
      </c>
      <c r="W101" s="2" t="inlineStr">
        <is>
          <t>접수: 유선</t>
        </is>
      </c>
      <c r="X101" s="2" t="inlineStr">
        <is>
          <t>충남상회</t>
        </is>
      </c>
      <c r="Y101" s="2" t="inlineStr">
        <is>
          <t>서울 동작구 노들로 674 노량진수산물도매시장 1층 활어136호</t>
        </is>
      </c>
      <c r="Z101" s="2" t="inlineStr">
        <is>
          <t>010-5470-3997/02-2254-7399</t>
        </is>
      </c>
      <c r="AA101" s="2" t="inlineStr"/>
      <c r="AB101" s="2" t="inlineStr">
        <is>
          <t>광고상품</t>
        </is>
      </c>
      <c r="AC101" s="2" t="inlineStr">
        <is>
          <t>N</t>
        </is>
      </c>
      <c r="AD101" s="2" t="inlineStr"/>
      <c r="AE101" s="2" t="inlineStr">
        <is>
          <t>2026-09-30T04:43:27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  <col width="4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product_id</t>
        </is>
      </c>
      <c r="B1" s="1" t="inlineStr">
        <is>
          <t>option_id</t>
        </is>
      </c>
      <c r="C1" s="1" t="inlineStr">
        <is>
          <t>cat1</t>
        </is>
      </c>
      <c r="D1" s="1" t="inlineStr">
        <is>
          <t>cat2</t>
        </is>
      </c>
      <c r="E1" s="1" t="inlineStr">
        <is>
          <t>region</t>
        </is>
      </c>
      <c r="F1" s="1" t="inlineStr">
        <is>
          <t>name</t>
        </is>
      </c>
      <c r="G1" s="1" t="inlineStr">
        <is>
          <t>option</t>
        </is>
      </c>
      <c r="H1" s="1" t="inlineStr">
        <is>
          <t>detail_div</t>
        </is>
      </c>
      <c r="I1" s="1" t="inlineStr">
        <is>
          <t>week_div</t>
        </is>
      </c>
      <c r="J1" s="1" t="inlineStr">
        <is>
          <t>time_div</t>
        </is>
      </c>
      <c r="K1" s="1" t="inlineStr">
        <is>
          <t>list_price</t>
        </is>
      </c>
      <c r="L1" s="1" t="inlineStr">
        <is>
          <t>sale_price</t>
        </is>
      </c>
      <c r="M1" s="1" t="inlineStr">
        <is>
          <t>discount_pct</t>
        </is>
      </c>
      <c r="N1" s="1" t="inlineStr">
        <is>
          <t>calc_discount_pct</t>
        </is>
      </c>
      <c r="O1" s="1" t="inlineStr">
        <is>
          <t>min_ticket_unit</t>
        </is>
      </c>
      <c r="P1" s="1" t="inlineStr">
        <is>
          <t>start_div</t>
        </is>
      </c>
      <c r="Q1" s="1" t="inlineStr">
        <is>
          <t>start_date</t>
        </is>
      </c>
      <c r="R1" s="1" t="inlineStr">
        <is>
          <t>end_div</t>
        </is>
      </c>
      <c r="S1" s="1" t="inlineStr">
        <is>
          <t>end_date</t>
        </is>
      </c>
      <c r="T1" s="1" t="inlineStr">
        <is>
          <t>is_basis</t>
        </is>
      </c>
    </row>
    <row r="2">
      <c r="A2" s="2" t="inlineStr">
        <is>
          <t>243478</t>
        </is>
      </c>
      <c r="B2" s="2" t="inlineStr">
        <is>
          <t>2311913</t>
        </is>
      </c>
      <c r="C2" s="2" t="inlineStr">
        <is>
          <t>삼성미라클안과</t>
        </is>
      </c>
      <c r="D2" s="2" t="inlineStr">
        <is>
          <t>라식·라섹</t>
        </is>
      </c>
      <c r="E2" s="2" t="inlineStr">
        <is>
          <t>서울/천안</t>
        </is>
      </c>
      <c r="F2" s="2" t="inlineStr">
        <is>
          <t>삼성미라클안과 라식·라섹</t>
        </is>
      </c>
      <c r="G2" s="2" t="inlineStr">
        <is>
          <t>미라클라섹(*예약문의 : 010-2504-5792)</t>
        </is>
      </c>
      <c r="H2" s="2" t="inlineStr"/>
      <c r="I2" s="2" t="inlineStr"/>
      <c r="J2" s="2" t="inlineStr"/>
      <c r="K2" s="2" t="n">
        <v>1600000</v>
      </c>
      <c r="L2" s="2" t="n">
        <v>890000</v>
      </c>
      <c r="M2" s="2" t="n">
        <v>44</v>
      </c>
      <c r="N2" s="2" t="n">
        <v>44.4</v>
      </c>
      <c r="O2" s="2" t="inlineStr">
        <is>
          <t>1</t>
        </is>
      </c>
      <c r="P2" s="2" t="inlineStr">
        <is>
          <t>구매일</t>
        </is>
      </c>
      <c r="Q2" s="2" t="inlineStr">
        <is>
          <t>0</t>
        </is>
      </c>
      <c r="R2" s="2" t="inlineStr">
        <is>
          <t>구매일</t>
        </is>
      </c>
      <c r="S2" s="2" t="inlineStr">
        <is>
          <t>0</t>
        </is>
      </c>
      <c r="T2" s="2" t="b">
        <v>1</v>
      </c>
    </row>
    <row r="3">
      <c r="A3" s="2" t="inlineStr">
        <is>
          <t>243478</t>
        </is>
      </c>
      <c r="B3" s="2" t="inlineStr">
        <is>
          <t>2311914</t>
        </is>
      </c>
      <c r="C3" s="2" t="inlineStr">
        <is>
          <t>삼성미라클안과</t>
        </is>
      </c>
      <c r="D3" s="2" t="inlineStr">
        <is>
          <t>라식·라섹</t>
        </is>
      </c>
      <c r="E3" s="2" t="inlineStr">
        <is>
          <t>서울/천안</t>
        </is>
      </c>
      <c r="F3" s="2" t="inlineStr">
        <is>
          <t>삼성미라클안과 라식·라섹</t>
        </is>
      </c>
      <c r="G3" s="2" t="inlineStr">
        <is>
          <t>양손스마일라식(*예약문의 : 010-2504-5792)</t>
        </is>
      </c>
      <c r="H3" s="2" t="inlineStr"/>
      <c r="I3" s="2" t="inlineStr"/>
      <c r="J3" s="2" t="inlineStr"/>
      <c r="K3" s="2" t="n">
        <v>3100000</v>
      </c>
      <c r="L3" s="2" t="n">
        <v>2100000</v>
      </c>
      <c r="M3" s="2" t="n">
        <v>32</v>
      </c>
      <c r="N3" s="2" t="n">
        <v>32.3</v>
      </c>
      <c r="O3" s="2" t="inlineStr">
        <is>
          <t>1</t>
        </is>
      </c>
      <c r="P3" s="2" t="inlineStr">
        <is>
          <t>구매일</t>
        </is>
      </c>
      <c r="Q3" s="2" t="inlineStr">
        <is>
          <t>0</t>
        </is>
      </c>
      <c r="R3" s="2" t="inlineStr">
        <is>
          <t>구매일</t>
        </is>
      </c>
      <c r="S3" s="2" t="inlineStr">
        <is>
          <t>0</t>
        </is>
      </c>
      <c r="T3" s="2" t="b">
        <v>0</v>
      </c>
    </row>
    <row r="4">
      <c r="A4" s="2" t="inlineStr">
        <is>
          <t>243478</t>
        </is>
      </c>
      <c r="B4" s="2" t="inlineStr">
        <is>
          <t>2311912</t>
        </is>
      </c>
      <c r="C4" s="2" t="inlineStr">
        <is>
          <t>삼성미라클안과</t>
        </is>
      </c>
      <c r="D4" s="2" t="inlineStr">
        <is>
          <t>라식·라섹</t>
        </is>
      </c>
      <c r="E4" s="2" t="inlineStr">
        <is>
          <t>서울/천안</t>
        </is>
      </c>
      <c r="F4" s="2" t="inlineStr">
        <is>
          <t>삼성미라클안과 라식·라섹</t>
        </is>
      </c>
      <c r="G4" s="2" t="inlineStr">
        <is>
          <t>렌즈삽입술(*예약문의 : 010-2504-5792)</t>
        </is>
      </c>
      <c r="H4" s="2" t="inlineStr"/>
      <c r="I4" s="2" t="inlineStr"/>
      <c r="J4" s="2" t="inlineStr"/>
      <c r="K4" s="2" t="n">
        <v>6500000</v>
      </c>
      <c r="L4" s="2" t="n">
        <v>4990000</v>
      </c>
      <c r="M4" s="2" t="n">
        <v>23</v>
      </c>
      <c r="N4" s="2" t="n">
        <v>23.2</v>
      </c>
      <c r="O4" s="2" t="inlineStr">
        <is>
          <t>1</t>
        </is>
      </c>
      <c r="P4" s="2" t="inlineStr">
        <is>
          <t>구매일</t>
        </is>
      </c>
      <c r="Q4" s="2" t="inlineStr">
        <is>
          <t>0</t>
        </is>
      </c>
      <c r="R4" s="2" t="inlineStr">
        <is>
          <t>구매일</t>
        </is>
      </c>
      <c r="S4" s="2" t="inlineStr">
        <is>
          <t>0</t>
        </is>
      </c>
      <c r="T4" s="2" t="b">
        <v>0</v>
      </c>
    </row>
    <row r="5">
      <c r="A5" s="2" t="inlineStr">
        <is>
          <t>328990</t>
        </is>
      </c>
      <c r="B5" s="2" t="inlineStr">
        <is>
          <t>4264809</t>
        </is>
      </c>
      <c r="C5" s="2" t="inlineStr">
        <is>
          <t>테마파크</t>
        </is>
      </c>
      <c r="D5" s="2" t="inlineStr">
        <is>
          <t>테마파크</t>
        </is>
      </c>
      <c r="E5" s="2" t="inlineStr">
        <is>
          <t>용인</t>
        </is>
      </c>
      <c r="F5" s="2" t="inlineStr">
        <is>
          <t>한국민속촌</t>
        </is>
      </c>
      <c r="G5" s="2" t="inlineStr">
        <is>
          <t>주중ㆍ주말공통 종일권 한국민속촌(~10/31)</t>
        </is>
      </c>
      <c r="H5" s="2" t="inlineStr">
        <is>
          <t>대소공통</t>
        </is>
      </c>
      <c r="I5" s="2" t="inlineStr">
        <is>
          <t>주중+주말</t>
        </is>
      </c>
      <c r="J5" s="2" t="inlineStr">
        <is>
          <t>종일</t>
        </is>
      </c>
      <c r="K5" s="2" t="n">
        <v>39000</v>
      </c>
      <c r="L5" s="2" t="n">
        <v>19000</v>
      </c>
      <c r="M5" s="2" t="n">
        <v>51</v>
      </c>
      <c r="N5" s="2" t="n">
        <v>51.3</v>
      </c>
      <c r="O5" s="2" t="inlineStr">
        <is>
          <t>1</t>
        </is>
      </c>
      <c r="P5" s="2" t="inlineStr">
        <is>
          <t>날짜지정</t>
        </is>
      </c>
      <c r="Q5" s="2" t="inlineStr">
        <is>
          <t>2026-10-01</t>
        </is>
      </c>
      <c r="R5" s="2" t="inlineStr">
        <is>
          <t>날짜지정</t>
        </is>
      </c>
      <c r="S5" s="2" t="inlineStr">
        <is>
          <t>2026-10-31</t>
        </is>
      </c>
      <c r="T5" s="2" t="b">
        <v>1</v>
      </c>
    </row>
    <row r="6">
      <c r="A6" s="2" t="inlineStr">
        <is>
          <t>326717</t>
        </is>
      </c>
      <c r="B6" s="2" t="inlineStr">
        <is>
          <t>4201015</t>
        </is>
      </c>
      <c r="C6" s="2" t="inlineStr">
        <is>
          <t>테마파크</t>
        </is>
      </c>
      <c r="D6" s="2" t="inlineStr">
        <is>
          <t>놀이공원</t>
        </is>
      </c>
      <c r="E6" s="2" t="inlineStr">
        <is>
          <t>과천</t>
        </is>
      </c>
      <c r="F6" s="2" t="inlineStr">
        <is>
          <t>서울랜드</t>
        </is>
      </c>
      <c r="G6" s="2" t="inlineStr">
        <is>
          <t>AFTER 4 서울랜드(~11/1)</t>
        </is>
      </c>
      <c r="H6" s="2" t="inlineStr">
        <is>
          <t>대소공통</t>
        </is>
      </c>
      <c r="I6" s="2" t="inlineStr">
        <is>
          <t>주중+주말</t>
        </is>
      </c>
      <c r="J6" s="2" t="inlineStr">
        <is>
          <t>종일</t>
        </is>
      </c>
      <c r="K6" s="2" t="n">
        <v>52000</v>
      </c>
      <c r="L6" s="2" t="n">
        <v>17000</v>
      </c>
      <c r="M6" s="2" t="n">
        <v>67</v>
      </c>
      <c r="N6" s="2" t="n">
        <v>67.3</v>
      </c>
      <c r="O6" s="2" t="inlineStr">
        <is>
          <t>1</t>
        </is>
      </c>
      <c r="P6" s="2" t="inlineStr">
        <is>
          <t>구매일</t>
        </is>
      </c>
      <c r="Q6" s="2" t="inlineStr">
        <is>
          <t>0</t>
        </is>
      </c>
      <c r="R6" s="2" t="inlineStr">
        <is>
          <t>날짜지정</t>
        </is>
      </c>
      <c r="S6" s="2" t="inlineStr">
        <is>
          <t>2026-11-01</t>
        </is>
      </c>
      <c r="T6" s="2" t="b">
        <v>1</v>
      </c>
    </row>
    <row r="7">
      <c r="A7" s="2" t="inlineStr">
        <is>
          <t>326717</t>
        </is>
      </c>
      <c r="B7" s="2" t="inlineStr">
        <is>
          <t>4201014</t>
        </is>
      </c>
      <c r="C7" s="2" t="inlineStr">
        <is>
          <t>테마파크</t>
        </is>
      </c>
      <c r="D7" s="2" t="inlineStr">
        <is>
          <t>놀이공원</t>
        </is>
      </c>
      <c r="E7" s="2" t="inlineStr">
        <is>
          <t>과천</t>
        </is>
      </c>
      <c r="F7" s="2" t="inlineStr">
        <is>
          <t>서울랜드</t>
        </is>
      </c>
      <c r="G7" s="2" t="inlineStr">
        <is>
          <t>AFTER 1 서울랜드(~11/1)</t>
        </is>
      </c>
      <c r="H7" s="2" t="inlineStr">
        <is>
          <t>대소공통</t>
        </is>
      </c>
      <c r="I7" s="2" t="inlineStr">
        <is>
          <t>주중+주말</t>
        </is>
      </c>
      <c r="J7" s="2" t="inlineStr">
        <is>
          <t>종일</t>
        </is>
      </c>
      <c r="K7" s="2" t="n">
        <v>52000</v>
      </c>
      <c r="L7" s="2" t="n">
        <v>19000</v>
      </c>
      <c r="M7" s="2" t="n">
        <v>63</v>
      </c>
      <c r="N7" s="2" t="n">
        <v>63.5</v>
      </c>
      <c r="O7" s="2" t="inlineStr">
        <is>
          <t>1</t>
        </is>
      </c>
      <c r="P7" s="2" t="inlineStr">
        <is>
          <t>구매일</t>
        </is>
      </c>
      <c r="Q7" s="2" t="inlineStr">
        <is>
          <t>0</t>
        </is>
      </c>
      <c r="R7" s="2" t="inlineStr">
        <is>
          <t>날짜지정</t>
        </is>
      </c>
      <c r="S7" s="2" t="inlineStr">
        <is>
          <t>2026-11-01</t>
        </is>
      </c>
      <c r="T7" s="2" t="b">
        <v>0</v>
      </c>
    </row>
    <row r="8">
      <c r="A8" s="2" t="inlineStr">
        <is>
          <t>326717</t>
        </is>
      </c>
      <c r="B8" s="2" t="inlineStr">
        <is>
          <t>4201013</t>
        </is>
      </c>
      <c r="C8" s="2" t="inlineStr">
        <is>
          <t>테마파크</t>
        </is>
      </c>
      <c r="D8" s="2" t="inlineStr">
        <is>
          <t>놀이공원</t>
        </is>
      </c>
      <c r="E8" s="2" t="inlineStr">
        <is>
          <t>과천</t>
        </is>
      </c>
      <c r="F8" s="2" t="inlineStr">
        <is>
          <t>서울랜드</t>
        </is>
      </c>
      <c r="G8" s="2" t="inlineStr">
        <is>
          <t>종일권 서울랜드(~11/1)</t>
        </is>
      </c>
      <c r="H8" s="2" t="inlineStr">
        <is>
          <t>대소공통</t>
        </is>
      </c>
      <c r="I8" s="2" t="inlineStr">
        <is>
          <t>주중+주말</t>
        </is>
      </c>
      <c r="J8" s="2" t="inlineStr">
        <is>
          <t>종일</t>
        </is>
      </c>
      <c r="K8" s="2" t="n">
        <v>52000</v>
      </c>
      <c r="L8" s="2" t="n">
        <v>22000</v>
      </c>
      <c r="M8" s="2" t="n">
        <v>58</v>
      </c>
      <c r="N8" s="2" t="n">
        <v>57.7</v>
      </c>
      <c r="O8" s="2" t="inlineStr">
        <is>
          <t>1</t>
        </is>
      </c>
      <c r="P8" s="2" t="inlineStr">
        <is>
          <t>구매일</t>
        </is>
      </c>
      <c r="Q8" s="2" t="inlineStr">
        <is>
          <t>0</t>
        </is>
      </c>
      <c r="R8" s="2" t="inlineStr">
        <is>
          <t>날짜지정</t>
        </is>
      </c>
      <c r="S8" s="2" t="inlineStr">
        <is>
          <t>2026-11-01</t>
        </is>
      </c>
      <c r="T8" s="2" t="b">
        <v>0</v>
      </c>
    </row>
    <row r="9">
      <c r="A9" s="2" t="inlineStr">
        <is>
          <t>329117</t>
        </is>
      </c>
      <c r="B9" s="2" t="inlineStr">
        <is>
          <t>4267023</t>
        </is>
      </c>
      <c r="C9" s="2" t="inlineStr">
        <is>
          <t>테마파크</t>
        </is>
      </c>
      <c r="D9" s="2" t="inlineStr">
        <is>
          <t>놀이공원</t>
        </is>
      </c>
      <c r="E9" s="2" t="inlineStr">
        <is>
          <t>춘천</t>
        </is>
      </c>
      <c r="F9" s="2" t="inlineStr">
        <is>
          <t>레고랜드</t>
        </is>
      </c>
      <c r="G9" s="2" t="inlineStr">
        <is>
          <t>주중ㆍ주말 대소공통 레고랜드 2인 종일권(~11/15)</t>
        </is>
      </c>
      <c r="H9" s="2" t="inlineStr">
        <is>
          <t>대소공통</t>
        </is>
      </c>
      <c r="I9" s="2" t="inlineStr">
        <is>
          <t>주중+주말</t>
        </is>
      </c>
      <c r="J9" s="2" t="inlineStr">
        <is>
          <t>종일</t>
        </is>
      </c>
      <c r="K9" s="2" t="n">
        <v>66000</v>
      </c>
      <c r="L9" s="2" t="n">
        <v>36000</v>
      </c>
      <c r="M9" s="2" t="n">
        <v>45</v>
      </c>
      <c r="N9" s="2" t="n">
        <v>45.5</v>
      </c>
      <c r="O9" s="2" t="inlineStr">
        <is>
          <t>2</t>
        </is>
      </c>
      <c r="P9" s="2" t="inlineStr">
        <is>
          <t>날짜지정</t>
        </is>
      </c>
      <c r="Q9" s="2" t="inlineStr">
        <is>
          <t>2026-09-22</t>
        </is>
      </c>
      <c r="R9" s="2" t="inlineStr">
        <is>
          <t>날짜지정</t>
        </is>
      </c>
      <c r="S9" s="2" t="inlineStr">
        <is>
          <t>2026-11-15</t>
        </is>
      </c>
      <c r="T9" s="2" t="b">
        <v>1</v>
      </c>
    </row>
    <row r="10">
      <c r="A10" s="2" t="inlineStr">
        <is>
          <t>329117</t>
        </is>
      </c>
      <c r="B10" s="2" t="inlineStr">
        <is>
          <t>4267024</t>
        </is>
      </c>
      <c r="C10" s="2" t="inlineStr">
        <is>
          <t>테마파크</t>
        </is>
      </c>
      <c r="D10" s="2" t="inlineStr">
        <is>
          <t>놀이공원</t>
        </is>
      </c>
      <c r="E10" s="2" t="inlineStr">
        <is>
          <t>춘천</t>
        </is>
      </c>
      <c r="F10" s="2" t="inlineStr">
        <is>
          <t>레고랜드</t>
        </is>
      </c>
      <c r="G10" s="2" t="inlineStr">
        <is>
          <t>주중ㆍ주말 대소공통 레고랜드 3인 종일권(~11/15)</t>
        </is>
      </c>
      <c r="H10" s="2" t="inlineStr">
        <is>
          <t>대소공통</t>
        </is>
      </c>
      <c r="I10" s="2" t="inlineStr">
        <is>
          <t>주중+주말</t>
        </is>
      </c>
      <c r="J10" s="2" t="inlineStr">
        <is>
          <t>종일</t>
        </is>
      </c>
      <c r="K10" s="2" t="n">
        <v>66000</v>
      </c>
      <c r="L10" s="2" t="n">
        <v>36000</v>
      </c>
      <c r="M10" s="2" t="n">
        <v>45</v>
      </c>
      <c r="N10" s="2" t="n">
        <v>45.5</v>
      </c>
      <c r="O10" s="2" t="inlineStr">
        <is>
          <t>3</t>
        </is>
      </c>
      <c r="P10" s="2" t="inlineStr">
        <is>
          <t>날짜지정</t>
        </is>
      </c>
      <c r="Q10" s="2" t="inlineStr">
        <is>
          <t>2026-09-22</t>
        </is>
      </c>
      <c r="R10" s="2" t="inlineStr">
        <is>
          <t>날짜지정</t>
        </is>
      </c>
      <c r="S10" s="2" t="inlineStr">
        <is>
          <t>2026-11-15</t>
        </is>
      </c>
      <c r="T10" s="2" t="b">
        <v>0</v>
      </c>
    </row>
    <row r="11">
      <c r="A11" s="2" t="inlineStr">
        <is>
          <t>329117</t>
        </is>
      </c>
      <c r="B11" s="2" t="inlineStr">
        <is>
          <t>4267025</t>
        </is>
      </c>
      <c r="C11" s="2" t="inlineStr">
        <is>
          <t>테마파크</t>
        </is>
      </c>
      <c r="D11" s="2" t="inlineStr">
        <is>
          <t>놀이공원</t>
        </is>
      </c>
      <c r="E11" s="2" t="inlineStr">
        <is>
          <t>춘천</t>
        </is>
      </c>
      <c r="F11" s="2" t="inlineStr">
        <is>
          <t>레고랜드</t>
        </is>
      </c>
      <c r="G11" s="2" t="inlineStr">
        <is>
          <t>주중ㆍ주말 대소공통 레고랜드 4인 종일권(~11/15)</t>
        </is>
      </c>
      <c r="H11" s="2" t="inlineStr">
        <is>
          <t>대소공통</t>
        </is>
      </c>
      <c r="I11" s="2" t="inlineStr">
        <is>
          <t>주중+주말</t>
        </is>
      </c>
      <c r="J11" s="2" t="inlineStr">
        <is>
          <t>종일</t>
        </is>
      </c>
      <c r="K11" s="2" t="n">
        <v>66000</v>
      </c>
      <c r="L11" s="2" t="n">
        <v>36000</v>
      </c>
      <c r="M11" s="2" t="n">
        <v>45</v>
      </c>
      <c r="N11" s="2" t="n">
        <v>45.5</v>
      </c>
      <c r="O11" s="2" t="inlineStr">
        <is>
          <t>4</t>
        </is>
      </c>
      <c r="P11" s="2" t="inlineStr">
        <is>
          <t>날짜지정</t>
        </is>
      </c>
      <c r="Q11" s="2" t="inlineStr">
        <is>
          <t>2026-09-22</t>
        </is>
      </c>
      <c r="R11" s="2" t="inlineStr">
        <is>
          <t>날짜지정</t>
        </is>
      </c>
      <c r="S11" s="2" t="inlineStr">
        <is>
          <t>2026-11-15</t>
        </is>
      </c>
      <c r="T11" s="2" t="b">
        <v>0</v>
      </c>
    </row>
    <row r="12">
      <c r="A12" s="2" t="inlineStr">
        <is>
          <t>330505</t>
        </is>
      </c>
      <c r="B12" s="2" t="inlineStr">
        <is>
          <t>4307271</t>
        </is>
      </c>
      <c r="C12" s="2" t="inlineStr">
        <is>
          <t>테마파크</t>
        </is>
      </c>
      <c r="D12" s="2" t="inlineStr">
        <is>
          <t>놀이공원</t>
        </is>
      </c>
      <c r="E12" s="2" t="inlineStr">
        <is>
          <t>경주</t>
        </is>
      </c>
      <c r="F12" s="2" t="inlineStr">
        <is>
          <t>경주월드</t>
        </is>
      </c>
      <c r="G12" s="2" t="inlineStr">
        <is>
          <t>대인 종일권 경주월드(~26/12/31)</t>
        </is>
      </c>
      <c r="H12" s="2" t="inlineStr">
        <is>
          <t>대인</t>
        </is>
      </c>
      <c r="I12" s="2" t="inlineStr">
        <is>
          <t>주중+주말</t>
        </is>
      </c>
      <c r="J12" s="2" t="inlineStr">
        <is>
          <t>종일</t>
        </is>
      </c>
      <c r="K12" s="2" t="n">
        <v>52000</v>
      </c>
      <c r="L12" s="2" t="n">
        <v>34000</v>
      </c>
      <c r="M12" s="2" t="n">
        <v>35</v>
      </c>
      <c r="N12" s="2" t="n">
        <v>34.6</v>
      </c>
      <c r="O12" s="2" t="inlineStr">
        <is>
          <t>1</t>
        </is>
      </c>
      <c r="P12" s="2" t="inlineStr">
        <is>
          <t>구매일</t>
        </is>
      </c>
      <c r="Q12" s="2" t="inlineStr">
        <is>
          <t>0</t>
        </is>
      </c>
      <c r="R12" s="2" t="inlineStr">
        <is>
          <t>날짜지정</t>
        </is>
      </c>
      <c r="S12" s="2" t="inlineStr">
        <is>
          <t>2026-12-31</t>
        </is>
      </c>
      <c r="T12" s="2" t="b">
        <v>1</v>
      </c>
    </row>
    <row r="13">
      <c r="A13" s="2" t="inlineStr">
        <is>
          <t>330505</t>
        </is>
      </c>
      <c r="B13" s="2" t="inlineStr">
        <is>
          <t>4307272</t>
        </is>
      </c>
      <c r="C13" s="2" t="inlineStr">
        <is>
          <t>테마파크</t>
        </is>
      </c>
      <c r="D13" s="2" t="inlineStr">
        <is>
          <t>놀이공원</t>
        </is>
      </c>
      <c r="E13" s="2" t="inlineStr">
        <is>
          <t>경주</t>
        </is>
      </c>
      <c r="F13" s="2" t="inlineStr">
        <is>
          <t>경주월드</t>
        </is>
      </c>
      <c r="G13" s="2" t="inlineStr">
        <is>
          <t>소인 종일권 경주월드(~26/12/31)</t>
        </is>
      </c>
      <c r="H13" s="2" t="inlineStr">
        <is>
          <t>소인</t>
        </is>
      </c>
      <c r="I13" s="2" t="inlineStr">
        <is>
          <t>주중+주말</t>
        </is>
      </c>
      <c r="J13" s="2" t="inlineStr">
        <is>
          <t>종일</t>
        </is>
      </c>
      <c r="K13" s="2" t="n">
        <v>39000</v>
      </c>
      <c r="L13" s="2" t="n">
        <v>26500</v>
      </c>
      <c r="M13" s="2" t="n">
        <v>32</v>
      </c>
      <c r="N13" s="2" t="n">
        <v>32.1</v>
      </c>
      <c r="O13" s="2" t="inlineStr">
        <is>
          <t>1</t>
        </is>
      </c>
      <c r="P13" s="2" t="inlineStr">
        <is>
          <t>구매일</t>
        </is>
      </c>
      <c r="Q13" s="2" t="inlineStr">
        <is>
          <t>0</t>
        </is>
      </c>
      <c r="R13" s="2" t="inlineStr">
        <is>
          <t>날짜지정</t>
        </is>
      </c>
      <c r="S13" s="2" t="inlineStr">
        <is>
          <t>2026-12-31</t>
        </is>
      </c>
      <c r="T13" s="2" t="b">
        <v>0</v>
      </c>
    </row>
    <row r="14">
      <c r="A14" s="2" t="inlineStr">
        <is>
          <t>328545</t>
        </is>
      </c>
      <c r="B14" s="2" t="inlineStr">
        <is>
          <t>4258169</t>
        </is>
      </c>
      <c r="C14" s="2" t="inlineStr">
        <is>
          <t>공연</t>
        </is>
      </c>
      <c r="D14" s="2" t="inlineStr">
        <is>
          <t>연극</t>
        </is>
      </c>
      <c r="E14" s="2" t="inlineStr">
        <is>
          <t>서울</t>
        </is>
      </c>
      <c r="F14" s="2" t="inlineStr">
        <is>
          <t>연극 마트로시카</t>
        </is>
      </c>
      <c r="G14" s="2" t="inlineStr">
        <is>
          <t>대소공통 관람권 마트로시카</t>
        </is>
      </c>
      <c r="H14" s="2" t="inlineStr">
        <is>
          <t>대소공통</t>
        </is>
      </c>
      <c r="I14" s="2" t="inlineStr">
        <is>
          <t>주중+주말</t>
        </is>
      </c>
      <c r="J14" s="2" t="inlineStr">
        <is>
          <t>종일</t>
        </is>
      </c>
      <c r="K14" s="2" t="n">
        <v>66000</v>
      </c>
      <c r="L14" s="2" t="n">
        <v>36960</v>
      </c>
      <c r="M14" s="2" t="n">
        <v>44</v>
      </c>
      <c r="N14" s="2" t="n">
        <v>44</v>
      </c>
      <c r="O14" s="2" t="inlineStr">
        <is>
          <t>1</t>
        </is>
      </c>
      <c r="P14" s="2" t="inlineStr">
        <is>
          <t>구매일</t>
        </is>
      </c>
      <c r="Q14" s="2" t="inlineStr">
        <is>
          <t>0</t>
        </is>
      </c>
      <c r="R14" s="2" t="inlineStr">
        <is>
          <t>구매일</t>
        </is>
      </c>
      <c r="S14" s="2" t="inlineStr">
        <is>
          <t>30</t>
        </is>
      </c>
      <c r="T14" s="2" t="b">
        <v>1</v>
      </c>
    </row>
    <row r="15">
      <c r="A15" s="2" t="inlineStr">
        <is>
          <t>328609</t>
        </is>
      </c>
      <c r="B15" s="2" t="inlineStr">
        <is>
          <t>4259802</t>
        </is>
      </c>
      <c r="C15" s="2" t="inlineStr">
        <is>
          <t>숙박</t>
        </is>
      </c>
      <c r="D15" s="2" t="inlineStr">
        <is>
          <t>숙박</t>
        </is>
      </c>
      <c r="E15" s="2" t="inlineStr">
        <is>
          <t>강화</t>
        </is>
      </c>
      <c r="F15" s="2" t="inlineStr">
        <is>
          <t>엘리야리조트&amp;풀빌라 숙박권</t>
        </is>
      </c>
      <c r="G15" s="2" t="inlineStr">
        <is>
          <t>디럭스 본관 주중 숙박권 엘리야리조트(~12/30)</t>
        </is>
      </c>
      <c r="H15" s="2" t="inlineStr"/>
      <c r="I15" s="2" t="inlineStr">
        <is>
          <t>주중</t>
        </is>
      </c>
      <c r="J15" s="2" t="inlineStr">
        <is>
          <t>종일</t>
        </is>
      </c>
      <c r="K15" s="2" t="n">
        <v>356800</v>
      </c>
      <c r="L15" s="2" t="n">
        <v>178400</v>
      </c>
      <c r="M15" s="2" t="n">
        <v>50</v>
      </c>
      <c r="N15" s="2" t="n">
        <v>50</v>
      </c>
      <c r="O15" s="2" t="inlineStr">
        <is>
          <t>1</t>
        </is>
      </c>
      <c r="P15" s="2" t="inlineStr">
        <is>
          <t>날짜지정</t>
        </is>
      </c>
      <c r="Q15" s="2" t="inlineStr">
        <is>
          <t>2026-09-10</t>
        </is>
      </c>
      <c r="R15" s="2" t="inlineStr">
        <is>
          <t>날짜지정</t>
        </is>
      </c>
      <c r="S15" s="2" t="inlineStr">
        <is>
          <t>2026-12-30</t>
        </is>
      </c>
      <c r="T15" s="2" t="b">
        <v>1</v>
      </c>
    </row>
    <row r="16">
      <c r="A16" s="2" t="inlineStr">
        <is>
          <t>328609</t>
        </is>
      </c>
      <c r="B16" s="2" t="inlineStr">
        <is>
          <t>4259803</t>
        </is>
      </c>
      <c r="C16" s="2" t="inlineStr">
        <is>
          <t>숙박</t>
        </is>
      </c>
      <c r="D16" s="2" t="inlineStr">
        <is>
          <t>숙박</t>
        </is>
      </c>
      <c r="E16" s="2" t="inlineStr">
        <is>
          <t>강화</t>
        </is>
      </c>
      <c r="F16" s="2" t="inlineStr">
        <is>
          <t>엘리야리조트&amp;풀빌라 숙박권</t>
        </is>
      </c>
      <c r="G16" s="2" t="inlineStr">
        <is>
          <t>디럭스 본관 준주말 숙박권 엘리야리조트(~12/30)</t>
        </is>
      </c>
      <c r="H16" s="2" t="inlineStr"/>
      <c r="I16" s="2" t="inlineStr">
        <is>
          <t>금요일</t>
        </is>
      </c>
      <c r="J16" s="2" t="inlineStr">
        <is>
          <t>종일</t>
        </is>
      </c>
      <c r="K16" s="2" t="n">
        <v>472000</v>
      </c>
      <c r="L16" s="2" t="n">
        <v>236000</v>
      </c>
      <c r="M16" s="2" t="n">
        <v>50</v>
      </c>
      <c r="N16" s="2" t="n">
        <v>50</v>
      </c>
      <c r="O16" s="2" t="inlineStr">
        <is>
          <t>1</t>
        </is>
      </c>
      <c r="P16" s="2" t="inlineStr">
        <is>
          <t>날짜지정</t>
        </is>
      </c>
      <c r="Q16" s="2" t="inlineStr">
        <is>
          <t>2026-09-10</t>
        </is>
      </c>
      <c r="R16" s="2" t="inlineStr">
        <is>
          <t>날짜지정</t>
        </is>
      </c>
      <c r="S16" s="2" t="inlineStr">
        <is>
          <t>2026-12-30</t>
        </is>
      </c>
      <c r="T16" s="2" t="b">
        <v>0</v>
      </c>
    </row>
    <row r="17">
      <c r="A17" s="2" t="inlineStr">
        <is>
          <t>328609</t>
        </is>
      </c>
      <c r="B17" s="2" t="inlineStr">
        <is>
          <t>4259808</t>
        </is>
      </c>
      <c r="C17" s="2" t="inlineStr">
        <is>
          <t>숙박</t>
        </is>
      </c>
      <c r="D17" s="2" t="inlineStr">
        <is>
          <t>숙박</t>
        </is>
      </c>
      <c r="E17" s="2" t="inlineStr">
        <is>
          <t>강화</t>
        </is>
      </c>
      <c r="F17" s="2" t="inlineStr">
        <is>
          <t>엘리야리조트&amp;풀빌라 숙박권</t>
        </is>
      </c>
      <c r="G17" s="2" t="inlineStr">
        <is>
          <t>디럭스 별관동 주중 숙박권 엘리야리조트(~12/30)</t>
        </is>
      </c>
      <c r="H17" s="2" t="inlineStr"/>
      <c r="I17" s="2" t="inlineStr">
        <is>
          <t>주중</t>
        </is>
      </c>
      <c r="J17" s="2" t="inlineStr">
        <is>
          <t>종일</t>
        </is>
      </c>
      <c r="K17" s="2" t="n">
        <v>504000</v>
      </c>
      <c r="L17" s="2" t="n">
        <v>252000</v>
      </c>
      <c r="M17" s="2" t="n">
        <v>50</v>
      </c>
      <c r="N17" s="2" t="n">
        <v>50</v>
      </c>
      <c r="O17" s="2" t="inlineStr">
        <is>
          <t>1</t>
        </is>
      </c>
      <c r="P17" s="2" t="inlineStr">
        <is>
          <t>날짜지정</t>
        </is>
      </c>
      <c r="Q17" s="2" t="inlineStr">
        <is>
          <t>2026-09-10</t>
        </is>
      </c>
      <c r="R17" s="2" t="inlineStr">
        <is>
          <t>날짜지정</t>
        </is>
      </c>
      <c r="S17" s="2" t="inlineStr">
        <is>
          <t>2026-12-30</t>
        </is>
      </c>
      <c r="T17" s="2" t="b">
        <v>0</v>
      </c>
    </row>
    <row r="18">
      <c r="A18" s="2" t="inlineStr">
        <is>
          <t>328609</t>
        </is>
      </c>
      <c r="B18" s="2" t="inlineStr">
        <is>
          <t>4259805</t>
        </is>
      </c>
      <c r="C18" s="2" t="inlineStr">
        <is>
          <t>숙박</t>
        </is>
      </c>
      <c r="D18" s="2" t="inlineStr">
        <is>
          <t>숙박</t>
        </is>
      </c>
      <c r="E18" s="2" t="inlineStr">
        <is>
          <t>강화</t>
        </is>
      </c>
      <c r="F18" s="2" t="inlineStr">
        <is>
          <t>엘리야리조트&amp;풀빌라 숙박권</t>
        </is>
      </c>
      <c r="G18" s="2" t="inlineStr">
        <is>
          <t>스위트 본관 주중 숙박권 엘리야리조트(~12/30)</t>
        </is>
      </c>
      <c r="H18" s="2" t="inlineStr"/>
      <c r="I18" s="2" t="inlineStr">
        <is>
          <t>주중</t>
        </is>
      </c>
      <c r="J18" s="2" t="inlineStr">
        <is>
          <t>종일</t>
        </is>
      </c>
      <c r="K18" s="2" t="n">
        <v>520000</v>
      </c>
      <c r="L18" s="2" t="n">
        <v>260000</v>
      </c>
      <c r="M18" s="2" t="n">
        <v>50</v>
      </c>
      <c r="N18" s="2" t="n">
        <v>50</v>
      </c>
      <c r="O18" s="2" t="inlineStr">
        <is>
          <t>1</t>
        </is>
      </c>
      <c r="P18" s="2" t="inlineStr">
        <is>
          <t>날짜지정</t>
        </is>
      </c>
      <c r="Q18" s="2" t="inlineStr">
        <is>
          <t>2026-09-10</t>
        </is>
      </c>
      <c r="R18" s="2" t="inlineStr">
        <is>
          <t>날짜지정</t>
        </is>
      </c>
      <c r="S18" s="2" t="inlineStr">
        <is>
          <t>2026-12-30</t>
        </is>
      </c>
      <c r="T18" s="2" t="b">
        <v>0</v>
      </c>
    </row>
    <row r="19">
      <c r="A19" s="2" t="inlineStr">
        <is>
          <t>328609</t>
        </is>
      </c>
      <c r="B19" s="2" t="inlineStr">
        <is>
          <t>4259804</t>
        </is>
      </c>
      <c r="C19" s="2" t="inlineStr">
        <is>
          <t>숙박</t>
        </is>
      </c>
      <c r="D19" s="2" t="inlineStr">
        <is>
          <t>숙박</t>
        </is>
      </c>
      <c r="E19" s="2" t="inlineStr">
        <is>
          <t>강화</t>
        </is>
      </c>
      <c r="F19" s="2" t="inlineStr">
        <is>
          <t>엘리야리조트&amp;풀빌라 숙박권</t>
        </is>
      </c>
      <c r="G19" s="2" t="inlineStr">
        <is>
          <t>디럭스 본관 주말 숙박권 엘리야리조트(~12/30)</t>
        </is>
      </c>
      <c r="H19" s="2" t="inlineStr"/>
      <c r="I19" s="2" t="inlineStr">
        <is>
          <t>주말</t>
        </is>
      </c>
      <c r="J19" s="2" t="inlineStr">
        <is>
          <t>종일</t>
        </is>
      </c>
      <c r="K19" s="2" t="n">
        <v>552000</v>
      </c>
      <c r="L19" s="2" t="n">
        <v>276000</v>
      </c>
      <c r="M19" s="2" t="n">
        <v>50</v>
      </c>
      <c r="N19" s="2" t="n">
        <v>50</v>
      </c>
      <c r="O19" s="2" t="inlineStr">
        <is>
          <t>1</t>
        </is>
      </c>
      <c r="P19" s="2" t="inlineStr">
        <is>
          <t>날짜지정</t>
        </is>
      </c>
      <c r="Q19" s="2" t="inlineStr">
        <is>
          <t>2026-09-10</t>
        </is>
      </c>
      <c r="R19" s="2" t="inlineStr">
        <is>
          <t>날짜지정</t>
        </is>
      </c>
      <c r="S19" s="2" t="inlineStr">
        <is>
          <t>2026-12-30</t>
        </is>
      </c>
      <c r="T19" s="2" t="b">
        <v>0</v>
      </c>
    </row>
    <row r="20">
      <c r="A20" s="2" t="inlineStr">
        <is>
          <t>328609</t>
        </is>
      </c>
      <c r="B20" s="2" t="inlineStr">
        <is>
          <t>4259809</t>
        </is>
      </c>
      <c r="C20" s="2" t="inlineStr">
        <is>
          <t>숙박</t>
        </is>
      </c>
      <c r="D20" s="2" t="inlineStr">
        <is>
          <t>숙박</t>
        </is>
      </c>
      <c r="E20" s="2" t="inlineStr">
        <is>
          <t>강화</t>
        </is>
      </c>
      <c r="F20" s="2" t="inlineStr">
        <is>
          <t>엘리야리조트&amp;풀빌라 숙박권</t>
        </is>
      </c>
      <c r="G20" s="2" t="inlineStr">
        <is>
          <t>디럭스 별관동 준주말 숙박권 엘리야리조트(~12/30)</t>
        </is>
      </c>
      <c r="H20" s="2" t="inlineStr"/>
      <c r="I20" s="2" t="inlineStr">
        <is>
          <t>금요일</t>
        </is>
      </c>
      <c r="J20" s="2" t="inlineStr">
        <is>
          <t>종일</t>
        </is>
      </c>
      <c r="K20" s="2" t="n">
        <v>568000</v>
      </c>
      <c r="L20" s="2" t="n">
        <v>284000</v>
      </c>
      <c r="M20" s="2" t="n">
        <v>50</v>
      </c>
      <c r="N20" s="2" t="n">
        <v>50</v>
      </c>
      <c r="O20" s="2" t="inlineStr">
        <is>
          <t>1</t>
        </is>
      </c>
      <c r="P20" s="2" t="inlineStr">
        <is>
          <t>날짜지정</t>
        </is>
      </c>
      <c r="Q20" s="2" t="inlineStr">
        <is>
          <t>2026-09-10</t>
        </is>
      </c>
      <c r="R20" s="2" t="inlineStr">
        <is>
          <t>날짜지정</t>
        </is>
      </c>
      <c r="S20" s="2" t="inlineStr">
        <is>
          <t>2026-12-30</t>
        </is>
      </c>
      <c r="T20" s="2" t="b">
        <v>0</v>
      </c>
    </row>
    <row r="21">
      <c r="A21" s="2" t="inlineStr">
        <is>
          <t>328609</t>
        </is>
      </c>
      <c r="B21" s="2" t="inlineStr">
        <is>
          <t>4259811</t>
        </is>
      </c>
      <c r="C21" s="2" t="inlineStr">
        <is>
          <t>숙박</t>
        </is>
      </c>
      <c r="D21" s="2" t="inlineStr">
        <is>
          <t>숙박</t>
        </is>
      </c>
      <c r="E21" s="2" t="inlineStr">
        <is>
          <t>강화</t>
        </is>
      </c>
      <c r="F21" s="2" t="inlineStr">
        <is>
          <t>엘리야리조트&amp;풀빌라 숙박권</t>
        </is>
      </c>
      <c r="G21" s="2" t="inlineStr">
        <is>
          <t>스위트 별관동 주중 숙박권 엘리야리조트(~12/30)</t>
        </is>
      </c>
      <c r="H21" s="2" t="inlineStr"/>
      <c r="I21" s="2" t="inlineStr">
        <is>
          <t>주중</t>
        </is>
      </c>
      <c r="J21" s="2" t="inlineStr">
        <is>
          <t>종일</t>
        </is>
      </c>
      <c r="K21" s="2" t="n">
        <v>584000</v>
      </c>
      <c r="L21" s="2" t="n">
        <v>292000</v>
      </c>
      <c r="M21" s="2" t="n">
        <v>50</v>
      </c>
      <c r="N21" s="2" t="n">
        <v>50</v>
      </c>
      <c r="O21" s="2" t="inlineStr">
        <is>
          <t>1</t>
        </is>
      </c>
      <c r="P21" s="2" t="inlineStr">
        <is>
          <t>날짜지정</t>
        </is>
      </c>
      <c r="Q21" s="2" t="inlineStr">
        <is>
          <t>2026-09-10</t>
        </is>
      </c>
      <c r="R21" s="2" t="inlineStr">
        <is>
          <t>날짜지정</t>
        </is>
      </c>
      <c r="S21" s="2" t="inlineStr">
        <is>
          <t>2026-12-30</t>
        </is>
      </c>
      <c r="T21" s="2" t="b">
        <v>0</v>
      </c>
    </row>
    <row r="22">
      <c r="A22" s="2" t="inlineStr">
        <is>
          <t>328609</t>
        </is>
      </c>
      <c r="B22" s="2" t="inlineStr">
        <is>
          <t>4259806</t>
        </is>
      </c>
      <c r="C22" s="2" t="inlineStr">
        <is>
          <t>숙박</t>
        </is>
      </c>
      <c r="D22" s="2" t="inlineStr">
        <is>
          <t>숙박</t>
        </is>
      </c>
      <c r="E22" s="2" t="inlineStr">
        <is>
          <t>강화</t>
        </is>
      </c>
      <c r="F22" s="2" t="inlineStr">
        <is>
          <t>엘리야리조트&amp;풀빌라 숙박권</t>
        </is>
      </c>
      <c r="G22" s="2" t="inlineStr">
        <is>
          <t>스위트 본관 준주말 숙박권 엘리야리조트(~12/30)</t>
        </is>
      </c>
      <c r="H22" s="2" t="inlineStr"/>
      <c r="I22" s="2" t="inlineStr">
        <is>
          <t>금요일</t>
        </is>
      </c>
      <c r="J22" s="2" t="inlineStr">
        <is>
          <t>종일</t>
        </is>
      </c>
      <c r="K22" s="2" t="n">
        <v>600000</v>
      </c>
      <c r="L22" s="2" t="n">
        <v>300000</v>
      </c>
      <c r="M22" s="2" t="n">
        <v>50</v>
      </c>
      <c r="N22" s="2" t="n">
        <v>50</v>
      </c>
      <c r="O22" s="2" t="inlineStr">
        <is>
          <t>1</t>
        </is>
      </c>
      <c r="P22" s="2" t="inlineStr">
        <is>
          <t>날짜지정</t>
        </is>
      </c>
      <c r="Q22" s="2" t="inlineStr">
        <is>
          <t>2026-09-10</t>
        </is>
      </c>
      <c r="R22" s="2" t="inlineStr">
        <is>
          <t>날짜지정</t>
        </is>
      </c>
      <c r="S22" s="2" t="inlineStr">
        <is>
          <t>2026-12-30</t>
        </is>
      </c>
      <c r="T22" s="2" t="b">
        <v>0</v>
      </c>
    </row>
    <row r="23">
      <c r="A23" s="2" t="inlineStr">
        <is>
          <t>328609</t>
        </is>
      </c>
      <c r="B23" s="2" t="inlineStr">
        <is>
          <t>4259810</t>
        </is>
      </c>
      <c r="C23" s="2" t="inlineStr">
        <is>
          <t>숙박</t>
        </is>
      </c>
      <c r="D23" s="2" t="inlineStr">
        <is>
          <t>숙박</t>
        </is>
      </c>
      <c r="E23" s="2" t="inlineStr">
        <is>
          <t>강화</t>
        </is>
      </c>
      <c r="F23" s="2" t="inlineStr">
        <is>
          <t>엘리야리조트&amp;풀빌라 숙박권</t>
        </is>
      </c>
      <c r="G23" s="2" t="inlineStr">
        <is>
          <t>디럭스 별관동 주말 숙박권 엘리야리조트(~12/30)</t>
        </is>
      </c>
      <c r="H23" s="2" t="inlineStr"/>
      <c r="I23" s="2" t="inlineStr">
        <is>
          <t>주말</t>
        </is>
      </c>
      <c r="J23" s="2" t="inlineStr">
        <is>
          <t>종일</t>
        </is>
      </c>
      <c r="K23" s="2" t="n">
        <v>648000</v>
      </c>
      <c r="L23" s="2" t="n">
        <v>324000</v>
      </c>
      <c r="M23" s="2" t="n">
        <v>50</v>
      </c>
      <c r="N23" s="2" t="n">
        <v>50</v>
      </c>
      <c r="O23" s="2" t="inlineStr">
        <is>
          <t>1</t>
        </is>
      </c>
      <c r="P23" s="2" t="inlineStr">
        <is>
          <t>날짜지정</t>
        </is>
      </c>
      <c r="Q23" s="2" t="inlineStr">
        <is>
          <t>2026-09-10</t>
        </is>
      </c>
      <c r="R23" s="2" t="inlineStr">
        <is>
          <t>날짜지정</t>
        </is>
      </c>
      <c r="S23" s="2" t="inlineStr">
        <is>
          <t>2026-12-30</t>
        </is>
      </c>
      <c r="T23" s="2" t="b">
        <v>0</v>
      </c>
    </row>
    <row r="24">
      <c r="A24" s="2" t="inlineStr">
        <is>
          <t>328609</t>
        </is>
      </c>
      <c r="B24" s="2" t="inlineStr">
        <is>
          <t>4259807</t>
        </is>
      </c>
      <c r="C24" s="2" t="inlineStr">
        <is>
          <t>숙박</t>
        </is>
      </c>
      <c r="D24" s="2" t="inlineStr">
        <is>
          <t>숙박</t>
        </is>
      </c>
      <c r="E24" s="2" t="inlineStr">
        <is>
          <t>강화</t>
        </is>
      </c>
      <c r="F24" s="2" t="inlineStr">
        <is>
          <t>엘리야리조트&amp;풀빌라 숙박권</t>
        </is>
      </c>
      <c r="G24" s="2" t="inlineStr">
        <is>
          <t>스위트 본관 주말 숙박권 엘리야리조트(~12/30)</t>
        </is>
      </c>
      <c r="H24" s="2" t="inlineStr"/>
      <c r="I24" s="2" t="inlineStr">
        <is>
          <t>주말</t>
        </is>
      </c>
      <c r="J24" s="2" t="inlineStr">
        <is>
          <t>종일</t>
        </is>
      </c>
      <c r="K24" s="2" t="n">
        <v>680000</v>
      </c>
      <c r="L24" s="2" t="n">
        <v>340000</v>
      </c>
      <c r="M24" s="2" t="n">
        <v>50</v>
      </c>
      <c r="N24" s="2" t="n">
        <v>50</v>
      </c>
      <c r="O24" s="2" t="inlineStr">
        <is>
          <t>1</t>
        </is>
      </c>
      <c r="P24" s="2" t="inlineStr">
        <is>
          <t>날짜지정</t>
        </is>
      </c>
      <c r="Q24" s="2" t="inlineStr">
        <is>
          <t>2026-09-10</t>
        </is>
      </c>
      <c r="R24" s="2" t="inlineStr">
        <is>
          <t>날짜지정</t>
        </is>
      </c>
      <c r="S24" s="2" t="inlineStr">
        <is>
          <t>2026-12-30</t>
        </is>
      </c>
      <c r="T24" s="2" t="b">
        <v>0</v>
      </c>
    </row>
    <row r="25">
      <c r="A25" s="2" t="inlineStr">
        <is>
          <t>328609</t>
        </is>
      </c>
      <c r="B25" s="2" t="inlineStr">
        <is>
          <t>4259812</t>
        </is>
      </c>
      <c r="C25" s="2" t="inlineStr">
        <is>
          <t>숙박</t>
        </is>
      </c>
      <c r="D25" s="2" t="inlineStr">
        <is>
          <t>숙박</t>
        </is>
      </c>
      <c r="E25" s="2" t="inlineStr">
        <is>
          <t>강화</t>
        </is>
      </c>
      <c r="F25" s="2" t="inlineStr">
        <is>
          <t>엘리야리조트&amp;풀빌라 숙박권</t>
        </is>
      </c>
      <c r="G25" s="2" t="inlineStr">
        <is>
          <t>스위트 별관동 준주말 숙박권 엘리야리조트(~12/30)</t>
        </is>
      </c>
      <c r="H25" s="2" t="inlineStr"/>
      <c r="I25" s="2" t="inlineStr">
        <is>
          <t>금요일</t>
        </is>
      </c>
      <c r="J25" s="2" t="inlineStr">
        <is>
          <t>종일</t>
        </is>
      </c>
      <c r="K25" s="2" t="n">
        <v>680000</v>
      </c>
      <c r="L25" s="2" t="n">
        <v>340000</v>
      </c>
      <c r="M25" s="2" t="n">
        <v>50</v>
      </c>
      <c r="N25" s="2" t="n">
        <v>50</v>
      </c>
      <c r="O25" s="2" t="inlineStr">
        <is>
          <t>1</t>
        </is>
      </c>
      <c r="P25" s="2" t="inlineStr">
        <is>
          <t>날짜지정</t>
        </is>
      </c>
      <c r="Q25" s="2" t="inlineStr">
        <is>
          <t>2026-09-10</t>
        </is>
      </c>
      <c r="R25" s="2" t="inlineStr">
        <is>
          <t>날짜지정</t>
        </is>
      </c>
      <c r="S25" s="2" t="inlineStr">
        <is>
          <t>2026-12-30</t>
        </is>
      </c>
      <c r="T25" s="2" t="b">
        <v>0</v>
      </c>
    </row>
    <row r="26">
      <c r="A26" s="2" t="inlineStr">
        <is>
          <t>328609</t>
        </is>
      </c>
      <c r="B26" s="2" t="inlineStr">
        <is>
          <t>4259813</t>
        </is>
      </c>
      <c r="C26" s="2" t="inlineStr">
        <is>
          <t>숙박</t>
        </is>
      </c>
      <c r="D26" s="2" t="inlineStr">
        <is>
          <t>숙박</t>
        </is>
      </c>
      <c r="E26" s="2" t="inlineStr">
        <is>
          <t>강화</t>
        </is>
      </c>
      <c r="F26" s="2" t="inlineStr">
        <is>
          <t>엘리야리조트&amp;풀빌라 숙박권</t>
        </is>
      </c>
      <c r="G26" s="2" t="inlineStr">
        <is>
          <t>스위트 별관동 주말 숙박권 엘리야리조트(~12/30)</t>
        </is>
      </c>
      <c r="H26" s="2" t="inlineStr"/>
      <c r="I26" s="2" t="inlineStr">
        <is>
          <t>주말</t>
        </is>
      </c>
      <c r="J26" s="2" t="inlineStr">
        <is>
          <t>종일</t>
        </is>
      </c>
      <c r="K26" s="2" t="n">
        <v>776000</v>
      </c>
      <c r="L26" s="2" t="n">
        <v>388000</v>
      </c>
      <c r="M26" s="2" t="n">
        <v>50</v>
      </c>
      <c r="N26" s="2" t="n">
        <v>50</v>
      </c>
      <c r="O26" s="2" t="inlineStr">
        <is>
          <t>1</t>
        </is>
      </c>
      <c r="P26" s="2" t="inlineStr">
        <is>
          <t>날짜지정</t>
        </is>
      </c>
      <c r="Q26" s="2" t="inlineStr">
        <is>
          <t>2026-09-10</t>
        </is>
      </c>
      <c r="R26" s="2" t="inlineStr">
        <is>
          <t>날짜지정</t>
        </is>
      </c>
      <c r="S26" s="2" t="inlineStr">
        <is>
          <t>2026-12-30</t>
        </is>
      </c>
      <c r="T26" s="2" t="b">
        <v>0</v>
      </c>
    </row>
    <row r="27">
      <c r="A27" s="2" t="inlineStr">
        <is>
          <t>328673</t>
        </is>
      </c>
      <c r="B27" s="2" t="inlineStr">
        <is>
          <t>4261735</t>
        </is>
      </c>
      <c r="C27" s="2" t="inlineStr">
        <is>
          <t>숙박</t>
        </is>
      </c>
      <c r="D27" s="2" t="inlineStr">
        <is>
          <t>숙박</t>
        </is>
      </c>
      <c r="E27" s="2" t="inlineStr">
        <is>
          <t>강원</t>
        </is>
      </c>
      <c r="F27" s="2" t="inlineStr">
        <is>
          <t>에머슨 스위트 낙산</t>
        </is>
      </c>
      <c r="G27" s="2" t="inlineStr">
        <is>
          <t>그랜드 디럭스 더블(하프 오션) 주중(일~목)</t>
        </is>
      </c>
      <c r="H27" s="2" t="inlineStr"/>
      <c r="I27" s="2" t="inlineStr">
        <is>
          <t>주중</t>
        </is>
      </c>
      <c r="J27" s="2" t="inlineStr">
        <is>
          <t>종일</t>
        </is>
      </c>
      <c r="K27" s="2" t="n">
        <v>240000</v>
      </c>
      <c r="L27" s="2" t="n">
        <v>120000</v>
      </c>
      <c r="M27" s="2" t="n">
        <v>50</v>
      </c>
      <c r="N27" s="2" t="n">
        <v>50</v>
      </c>
      <c r="O27" s="2" t="inlineStr">
        <is>
          <t>1</t>
        </is>
      </c>
      <c r="P27" s="2" t="inlineStr">
        <is>
          <t>날짜지정</t>
        </is>
      </c>
      <c r="Q27" s="2" t="inlineStr">
        <is>
          <t>2026-09-10</t>
        </is>
      </c>
      <c r="R27" s="2" t="inlineStr">
        <is>
          <t>날짜지정</t>
        </is>
      </c>
      <c r="S27" s="2" t="inlineStr">
        <is>
          <t>2026-12-29</t>
        </is>
      </c>
      <c r="T27" s="2" t="b">
        <v>1</v>
      </c>
    </row>
    <row r="28">
      <c r="A28" s="2" t="inlineStr">
        <is>
          <t>328673</t>
        </is>
      </c>
      <c r="B28" s="2" t="inlineStr">
        <is>
          <t>4261738</t>
        </is>
      </c>
      <c r="C28" s="2" t="inlineStr">
        <is>
          <t>숙박</t>
        </is>
      </c>
      <c r="D28" s="2" t="inlineStr">
        <is>
          <t>숙박</t>
        </is>
      </c>
      <c r="E28" s="2" t="inlineStr">
        <is>
          <t>강원</t>
        </is>
      </c>
      <c r="F28" s="2" t="inlineStr">
        <is>
          <t>에머슨 스위트 낙산</t>
        </is>
      </c>
      <c r="G28" s="2" t="inlineStr">
        <is>
          <t>에머슨 하프 오션 스위트 주중(일~목)</t>
        </is>
      </c>
      <c r="H28" s="2" t="inlineStr"/>
      <c r="I28" s="2" t="inlineStr">
        <is>
          <t>주중</t>
        </is>
      </c>
      <c r="J28" s="2" t="inlineStr">
        <is>
          <t>종일</t>
        </is>
      </c>
      <c r="K28" s="2" t="n">
        <v>262000</v>
      </c>
      <c r="L28" s="2" t="n">
        <v>131000</v>
      </c>
      <c r="M28" s="2" t="n">
        <v>50</v>
      </c>
      <c r="N28" s="2" t="n">
        <v>50</v>
      </c>
      <c r="O28" s="2" t="inlineStr">
        <is>
          <t>1</t>
        </is>
      </c>
      <c r="P28" s="2" t="inlineStr">
        <is>
          <t>날짜지정</t>
        </is>
      </c>
      <c r="Q28" s="2" t="inlineStr">
        <is>
          <t>2026-09-10</t>
        </is>
      </c>
      <c r="R28" s="2" t="inlineStr">
        <is>
          <t>날짜지정</t>
        </is>
      </c>
      <c r="S28" s="2" t="inlineStr">
        <is>
          <t>2026-12-29</t>
        </is>
      </c>
      <c r="T28" s="2" t="b">
        <v>0</v>
      </c>
    </row>
    <row r="29">
      <c r="A29" s="2" t="inlineStr">
        <is>
          <t>328673</t>
        </is>
      </c>
      <c r="B29" s="2" t="inlineStr">
        <is>
          <t>4261736</t>
        </is>
      </c>
      <c r="C29" s="2" t="inlineStr">
        <is>
          <t>숙박</t>
        </is>
      </c>
      <c r="D29" s="2" t="inlineStr">
        <is>
          <t>숙박</t>
        </is>
      </c>
      <c r="E29" s="2" t="inlineStr">
        <is>
          <t>강원</t>
        </is>
      </c>
      <c r="F29" s="2" t="inlineStr">
        <is>
          <t>에머슨 스위트 낙산</t>
        </is>
      </c>
      <c r="G29" s="2" t="inlineStr">
        <is>
          <t>그랜드 디럭스 더블(하프 오션) 금요일</t>
        </is>
      </c>
      <c r="H29" s="2" t="inlineStr"/>
      <c r="I29" s="2" t="inlineStr">
        <is>
          <t>금요일</t>
        </is>
      </c>
      <c r="J29" s="2" t="inlineStr">
        <is>
          <t>종일</t>
        </is>
      </c>
      <c r="K29" s="2" t="n">
        <v>268000</v>
      </c>
      <c r="L29" s="2" t="n">
        <v>134000</v>
      </c>
      <c r="M29" s="2" t="n">
        <v>50</v>
      </c>
      <c r="N29" s="2" t="n">
        <v>50</v>
      </c>
      <c r="O29" s="2" t="inlineStr">
        <is>
          <t>1</t>
        </is>
      </c>
      <c r="P29" s="2" t="inlineStr">
        <is>
          <t>날짜지정</t>
        </is>
      </c>
      <c r="Q29" s="2" t="inlineStr">
        <is>
          <t>2026-09-10</t>
        </is>
      </c>
      <c r="R29" s="2" t="inlineStr">
        <is>
          <t>날짜지정</t>
        </is>
      </c>
      <c r="S29" s="2" t="inlineStr">
        <is>
          <t>2026-12-29</t>
        </is>
      </c>
      <c r="T29" s="2" t="b">
        <v>0</v>
      </c>
    </row>
    <row r="30">
      <c r="A30" s="2" t="inlineStr">
        <is>
          <t>328673</t>
        </is>
      </c>
      <c r="B30" s="2" t="inlineStr">
        <is>
          <t>4261741</t>
        </is>
      </c>
      <c r="C30" s="2" t="inlineStr">
        <is>
          <t>숙박</t>
        </is>
      </c>
      <c r="D30" s="2" t="inlineStr">
        <is>
          <t>숙박</t>
        </is>
      </c>
      <c r="E30" s="2" t="inlineStr">
        <is>
          <t>강원</t>
        </is>
      </c>
      <c r="F30" s="2" t="inlineStr">
        <is>
          <t>에머슨 스위트 낙산</t>
        </is>
      </c>
      <c r="G30" s="2" t="inlineStr">
        <is>
          <t>에머슨 오션 스위트 주중(일~목)</t>
        </is>
      </c>
      <c r="H30" s="2" t="inlineStr"/>
      <c r="I30" s="2" t="inlineStr">
        <is>
          <t>주중</t>
        </is>
      </c>
      <c r="J30" s="2" t="inlineStr">
        <is>
          <t>종일</t>
        </is>
      </c>
      <c r="K30" s="2" t="n">
        <v>284000</v>
      </c>
      <c r="L30" s="2" t="n">
        <v>142000</v>
      </c>
      <c r="M30" s="2" t="n">
        <v>50</v>
      </c>
      <c r="N30" s="2" t="n">
        <v>50</v>
      </c>
      <c r="O30" s="2" t="inlineStr">
        <is>
          <t>1</t>
        </is>
      </c>
      <c r="P30" s="2" t="inlineStr">
        <is>
          <t>날짜지정</t>
        </is>
      </c>
      <c r="Q30" s="2" t="inlineStr">
        <is>
          <t>2026-09-10</t>
        </is>
      </c>
      <c r="R30" s="2" t="inlineStr">
        <is>
          <t>날짜지정</t>
        </is>
      </c>
      <c r="S30" s="2" t="inlineStr">
        <is>
          <t>2026-12-29</t>
        </is>
      </c>
      <c r="T30" s="2" t="b">
        <v>0</v>
      </c>
    </row>
    <row r="31">
      <c r="A31" s="2" t="inlineStr">
        <is>
          <t>328673</t>
        </is>
      </c>
      <c r="B31" s="2" t="inlineStr">
        <is>
          <t>4261739</t>
        </is>
      </c>
      <c r="C31" s="2" t="inlineStr">
        <is>
          <t>숙박</t>
        </is>
      </c>
      <c r="D31" s="2" t="inlineStr">
        <is>
          <t>숙박</t>
        </is>
      </c>
      <c r="E31" s="2" t="inlineStr">
        <is>
          <t>강원</t>
        </is>
      </c>
      <c r="F31" s="2" t="inlineStr">
        <is>
          <t>에머슨 스위트 낙산</t>
        </is>
      </c>
      <c r="G31" s="2" t="inlineStr">
        <is>
          <t>에머슨 하프 오션 스위트 금요일</t>
        </is>
      </c>
      <c r="H31" s="2" t="inlineStr"/>
      <c r="I31" s="2" t="inlineStr">
        <is>
          <t>금요일</t>
        </is>
      </c>
      <c r="J31" s="2" t="inlineStr">
        <is>
          <t>종일</t>
        </is>
      </c>
      <c r="K31" s="2" t="n">
        <v>312000</v>
      </c>
      <c r="L31" s="2" t="n">
        <v>156000</v>
      </c>
      <c r="M31" s="2" t="n">
        <v>50</v>
      </c>
      <c r="N31" s="2" t="n">
        <v>50</v>
      </c>
      <c r="O31" s="2" t="inlineStr">
        <is>
          <t>1</t>
        </is>
      </c>
      <c r="P31" s="2" t="inlineStr">
        <is>
          <t>날짜지정</t>
        </is>
      </c>
      <c r="Q31" s="2" t="inlineStr">
        <is>
          <t>2026-09-10</t>
        </is>
      </c>
      <c r="R31" s="2" t="inlineStr">
        <is>
          <t>날짜지정</t>
        </is>
      </c>
      <c r="S31" s="2" t="inlineStr">
        <is>
          <t>2026-12-29</t>
        </is>
      </c>
      <c r="T31" s="2" t="b">
        <v>0</v>
      </c>
    </row>
    <row r="32">
      <c r="A32" s="2" t="inlineStr">
        <is>
          <t>328673</t>
        </is>
      </c>
      <c r="B32" s="2" t="inlineStr">
        <is>
          <t>4261737</t>
        </is>
      </c>
      <c r="C32" s="2" t="inlineStr">
        <is>
          <t>숙박</t>
        </is>
      </c>
      <c r="D32" s="2" t="inlineStr">
        <is>
          <t>숙박</t>
        </is>
      </c>
      <c r="E32" s="2" t="inlineStr">
        <is>
          <t>강원</t>
        </is>
      </c>
      <c r="F32" s="2" t="inlineStr">
        <is>
          <t>에머슨 스위트 낙산</t>
        </is>
      </c>
      <c r="G32" s="2" t="inlineStr">
        <is>
          <t>그랜드 디럭스 더블(하프 오션) 토요일</t>
        </is>
      </c>
      <c r="H32" s="2" t="inlineStr"/>
      <c r="I32" s="2" t="inlineStr">
        <is>
          <t>토요일</t>
        </is>
      </c>
      <c r="J32" s="2" t="inlineStr">
        <is>
          <t>종일</t>
        </is>
      </c>
      <c r="K32" s="2" t="n">
        <v>316000</v>
      </c>
      <c r="L32" s="2" t="n">
        <v>158000</v>
      </c>
      <c r="M32" s="2" t="n">
        <v>50</v>
      </c>
      <c r="N32" s="2" t="n">
        <v>50</v>
      </c>
      <c r="O32" s="2" t="inlineStr">
        <is>
          <t>1</t>
        </is>
      </c>
      <c r="P32" s="2" t="inlineStr">
        <is>
          <t>날짜지정</t>
        </is>
      </c>
      <c r="Q32" s="2" t="inlineStr">
        <is>
          <t>2026-09-10</t>
        </is>
      </c>
      <c r="R32" s="2" t="inlineStr">
        <is>
          <t>날짜지정</t>
        </is>
      </c>
      <c r="S32" s="2" t="inlineStr">
        <is>
          <t>2026-12-29</t>
        </is>
      </c>
      <c r="T32" s="2" t="b">
        <v>0</v>
      </c>
    </row>
    <row r="33">
      <c r="A33" s="2" t="inlineStr">
        <is>
          <t>328673</t>
        </is>
      </c>
      <c r="B33" s="2" t="inlineStr">
        <is>
          <t>4261742</t>
        </is>
      </c>
      <c r="C33" s="2" t="inlineStr">
        <is>
          <t>숙박</t>
        </is>
      </c>
      <c r="D33" s="2" t="inlineStr">
        <is>
          <t>숙박</t>
        </is>
      </c>
      <c r="E33" s="2" t="inlineStr">
        <is>
          <t>강원</t>
        </is>
      </c>
      <c r="F33" s="2" t="inlineStr">
        <is>
          <t>에머슨 스위트 낙산</t>
        </is>
      </c>
      <c r="G33" s="2" t="inlineStr">
        <is>
          <t>에머슨 오션 스위트 금요일</t>
        </is>
      </c>
      <c r="H33" s="2" t="inlineStr"/>
      <c r="I33" s="2" t="inlineStr">
        <is>
          <t>금요일</t>
        </is>
      </c>
      <c r="J33" s="2" t="inlineStr">
        <is>
          <t>종일</t>
        </is>
      </c>
      <c r="K33" s="2" t="n">
        <v>334000</v>
      </c>
      <c r="L33" s="2" t="n">
        <v>167000</v>
      </c>
      <c r="M33" s="2" t="n">
        <v>50</v>
      </c>
      <c r="N33" s="2" t="n">
        <v>50</v>
      </c>
      <c r="O33" s="2" t="inlineStr">
        <is>
          <t>1</t>
        </is>
      </c>
      <c r="P33" s="2" t="inlineStr">
        <is>
          <t>날짜지정</t>
        </is>
      </c>
      <c r="Q33" s="2" t="inlineStr">
        <is>
          <t>2026-09-10</t>
        </is>
      </c>
      <c r="R33" s="2" t="inlineStr">
        <is>
          <t>날짜지정</t>
        </is>
      </c>
      <c r="S33" s="2" t="inlineStr">
        <is>
          <t>2026-12-29</t>
        </is>
      </c>
      <c r="T33" s="2" t="b">
        <v>0</v>
      </c>
    </row>
    <row r="34">
      <c r="A34" s="2" t="inlineStr">
        <is>
          <t>328673</t>
        </is>
      </c>
      <c r="B34" s="2" t="inlineStr">
        <is>
          <t>4261744</t>
        </is>
      </c>
      <c r="C34" s="2" t="inlineStr">
        <is>
          <t>숙박</t>
        </is>
      </c>
      <c r="D34" s="2" t="inlineStr">
        <is>
          <t>숙박</t>
        </is>
      </c>
      <c r="E34" s="2" t="inlineStr">
        <is>
          <t>강원</t>
        </is>
      </c>
      <c r="F34" s="2" t="inlineStr">
        <is>
          <t>에머슨 스위트 낙산</t>
        </is>
      </c>
      <c r="G34" s="2" t="inlineStr">
        <is>
          <t>에머슨 풀 오션 스위트 주중(일~목)</t>
        </is>
      </c>
      <c r="H34" s="2" t="inlineStr"/>
      <c r="I34" s="2" t="inlineStr">
        <is>
          <t>주중</t>
        </is>
      </c>
      <c r="J34" s="2" t="inlineStr">
        <is>
          <t>종일</t>
        </is>
      </c>
      <c r="K34" s="2" t="n">
        <v>350000</v>
      </c>
      <c r="L34" s="2" t="n">
        <v>175000</v>
      </c>
      <c r="M34" s="2" t="n">
        <v>50</v>
      </c>
      <c r="N34" s="2" t="n">
        <v>50</v>
      </c>
      <c r="O34" s="2" t="inlineStr">
        <is>
          <t>1</t>
        </is>
      </c>
      <c r="P34" s="2" t="inlineStr">
        <is>
          <t>날짜지정</t>
        </is>
      </c>
      <c r="Q34" s="2" t="inlineStr">
        <is>
          <t>2026-09-10</t>
        </is>
      </c>
      <c r="R34" s="2" t="inlineStr">
        <is>
          <t>날짜지정</t>
        </is>
      </c>
      <c r="S34" s="2" t="inlineStr">
        <is>
          <t>2026-12-29</t>
        </is>
      </c>
      <c r="T34" s="2" t="b">
        <v>0</v>
      </c>
    </row>
    <row r="35">
      <c r="A35" s="2" t="inlineStr">
        <is>
          <t>328673</t>
        </is>
      </c>
      <c r="B35" s="2" t="inlineStr">
        <is>
          <t>4261740</t>
        </is>
      </c>
      <c r="C35" s="2" t="inlineStr">
        <is>
          <t>숙박</t>
        </is>
      </c>
      <c r="D35" s="2" t="inlineStr">
        <is>
          <t>숙박</t>
        </is>
      </c>
      <c r="E35" s="2" t="inlineStr">
        <is>
          <t>강원</t>
        </is>
      </c>
      <c r="F35" s="2" t="inlineStr">
        <is>
          <t>에머슨 스위트 낙산</t>
        </is>
      </c>
      <c r="G35" s="2" t="inlineStr">
        <is>
          <t>에머슨 하프 오션 스위트 토요일</t>
        </is>
      </c>
      <c r="H35" s="2" t="inlineStr"/>
      <c r="I35" s="2" t="inlineStr">
        <is>
          <t>토요일</t>
        </is>
      </c>
      <c r="J35" s="2" t="inlineStr">
        <is>
          <t>종일</t>
        </is>
      </c>
      <c r="K35" s="2" t="n">
        <v>360000</v>
      </c>
      <c r="L35" s="2" t="n">
        <v>180000</v>
      </c>
      <c r="M35" s="2" t="n">
        <v>50</v>
      </c>
      <c r="N35" s="2" t="n">
        <v>50</v>
      </c>
      <c r="O35" s="2" t="inlineStr">
        <is>
          <t>1</t>
        </is>
      </c>
      <c r="P35" s="2" t="inlineStr">
        <is>
          <t>날짜지정</t>
        </is>
      </c>
      <c r="Q35" s="2" t="inlineStr">
        <is>
          <t>2026-09-10</t>
        </is>
      </c>
      <c r="R35" s="2" t="inlineStr">
        <is>
          <t>날짜지정</t>
        </is>
      </c>
      <c r="S35" s="2" t="inlineStr">
        <is>
          <t>2026-12-29</t>
        </is>
      </c>
      <c r="T35" s="2" t="b">
        <v>0</v>
      </c>
    </row>
    <row r="36">
      <c r="A36" s="2" t="inlineStr">
        <is>
          <t>328673</t>
        </is>
      </c>
      <c r="B36" s="2" t="inlineStr">
        <is>
          <t>4261743</t>
        </is>
      </c>
      <c r="C36" s="2" t="inlineStr">
        <is>
          <t>숙박</t>
        </is>
      </c>
      <c r="D36" s="2" t="inlineStr">
        <is>
          <t>숙박</t>
        </is>
      </c>
      <c r="E36" s="2" t="inlineStr">
        <is>
          <t>강원</t>
        </is>
      </c>
      <c r="F36" s="2" t="inlineStr">
        <is>
          <t>에머슨 스위트 낙산</t>
        </is>
      </c>
      <c r="G36" s="2" t="inlineStr">
        <is>
          <t>에머슨 오션 스위트 토요일</t>
        </is>
      </c>
      <c r="H36" s="2" t="inlineStr"/>
      <c r="I36" s="2" t="inlineStr">
        <is>
          <t>토요일</t>
        </is>
      </c>
      <c r="J36" s="2" t="inlineStr">
        <is>
          <t>종일</t>
        </is>
      </c>
      <c r="K36" s="2" t="n">
        <v>382000</v>
      </c>
      <c r="L36" s="2" t="n">
        <v>191000</v>
      </c>
      <c r="M36" s="2" t="n">
        <v>50</v>
      </c>
      <c r="N36" s="2" t="n">
        <v>50</v>
      </c>
      <c r="O36" s="2" t="inlineStr">
        <is>
          <t>1</t>
        </is>
      </c>
      <c r="P36" s="2" t="inlineStr">
        <is>
          <t>날짜지정</t>
        </is>
      </c>
      <c r="Q36" s="2" t="inlineStr">
        <is>
          <t>2026-09-10</t>
        </is>
      </c>
      <c r="R36" s="2" t="inlineStr">
        <is>
          <t>날짜지정</t>
        </is>
      </c>
      <c r="S36" s="2" t="inlineStr">
        <is>
          <t>2026-12-29</t>
        </is>
      </c>
      <c r="T36" s="2" t="b">
        <v>0</v>
      </c>
    </row>
    <row r="37">
      <c r="A37" s="2" t="inlineStr">
        <is>
          <t>328673</t>
        </is>
      </c>
      <c r="B37" s="2" t="inlineStr">
        <is>
          <t>4261747</t>
        </is>
      </c>
      <c r="C37" s="2" t="inlineStr">
        <is>
          <t>숙박</t>
        </is>
      </c>
      <c r="D37" s="2" t="inlineStr">
        <is>
          <t>숙박</t>
        </is>
      </c>
      <c r="E37" s="2" t="inlineStr">
        <is>
          <t>강원</t>
        </is>
      </c>
      <c r="F37" s="2" t="inlineStr">
        <is>
          <t>에머슨 스위트 낙산</t>
        </is>
      </c>
      <c r="G37" s="2" t="inlineStr">
        <is>
          <t>에머슨 프리미엄 오션 스위트 주중(일~목)</t>
        </is>
      </c>
      <c r="H37" s="2" t="inlineStr"/>
      <c r="I37" s="2" t="inlineStr">
        <is>
          <t>주중</t>
        </is>
      </c>
      <c r="J37" s="2" t="inlineStr">
        <is>
          <t>종일</t>
        </is>
      </c>
      <c r="K37" s="2" t="n">
        <v>394000</v>
      </c>
      <c r="L37" s="2" t="n">
        <v>197000</v>
      </c>
      <c r="M37" s="2" t="n">
        <v>50</v>
      </c>
      <c r="N37" s="2" t="n">
        <v>50</v>
      </c>
      <c r="O37" s="2" t="inlineStr">
        <is>
          <t>1</t>
        </is>
      </c>
      <c r="P37" s="2" t="inlineStr">
        <is>
          <t>날짜지정</t>
        </is>
      </c>
      <c r="Q37" s="2" t="inlineStr">
        <is>
          <t>2026-09-10</t>
        </is>
      </c>
      <c r="R37" s="2" t="inlineStr">
        <is>
          <t>날짜지정</t>
        </is>
      </c>
      <c r="S37" s="2" t="inlineStr">
        <is>
          <t>2026-12-29</t>
        </is>
      </c>
      <c r="T37" s="2" t="b">
        <v>0</v>
      </c>
    </row>
    <row r="38">
      <c r="A38" s="2" t="inlineStr">
        <is>
          <t>328673</t>
        </is>
      </c>
      <c r="B38" s="2" t="inlineStr">
        <is>
          <t>4261745</t>
        </is>
      </c>
      <c r="C38" s="2" t="inlineStr">
        <is>
          <t>숙박</t>
        </is>
      </c>
      <c r="D38" s="2" t="inlineStr">
        <is>
          <t>숙박</t>
        </is>
      </c>
      <c r="E38" s="2" t="inlineStr">
        <is>
          <t>강원</t>
        </is>
      </c>
      <c r="F38" s="2" t="inlineStr">
        <is>
          <t>에머슨 스위트 낙산</t>
        </is>
      </c>
      <c r="G38" s="2" t="inlineStr">
        <is>
          <t>에머슨 풀 오션 스위트 금요일</t>
        </is>
      </c>
      <c r="H38" s="2" t="inlineStr"/>
      <c r="I38" s="2" t="inlineStr">
        <is>
          <t>금요일</t>
        </is>
      </c>
      <c r="J38" s="2" t="inlineStr">
        <is>
          <t>종일</t>
        </is>
      </c>
      <c r="K38" s="2" t="n">
        <v>400000</v>
      </c>
      <c r="L38" s="2" t="n">
        <v>200000</v>
      </c>
      <c r="M38" s="2" t="n">
        <v>50</v>
      </c>
      <c r="N38" s="2" t="n">
        <v>50</v>
      </c>
      <c r="O38" s="2" t="inlineStr">
        <is>
          <t>1</t>
        </is>
      </c>
      <c r="P38" s="2" t="inlineStr">
        <is>
          <t>날짜지정</t>
        </is>
      </c>
      <c r="Q38" s="2" t="inlineStr">
        <is>
          <t>2026-09-10</t>
        </is>
      </c>
      <c r="R38" s="2" t="inlineStr">
        <is>
          <t>날짜지정</t>
        </is>
      </c>
      <c r="S38" s="2" t="inlineStr">
        <is>
          <t>2026-12-29</t>
        </is>
      </c>
      <c r="T38" s="2" t="b">
        <v>0</v>
      </c>
    </row>
    <row r="39">
      <c r="A39" s="2" t="inlineStr">
        <is>
          <t>328673</t>
        </is>
      </c>
      <c r="B39" s="2" t="inlineStr">
        <is>
          <t>4261748</t>
        </is>
      </c>
      <c r="C39" s="2" t="inlineStr">
        <is>
          <t>숙박</t>
        </is>
      </c>
      <c r="D39" s="2" t="inlineStr">
        <is>
          <t>숙박</t>
        </is>
      </c>
      <c r="E39" s="2" t="inlineStr">
        <is>
          <t>강원</t>
        </is>
      </c>
      <c r="F39" s="2" t="inlineStr">
        <is>
          <t>에머슨 스위트 낙산</t>
        </is>
      </c>
      <c r="G39" s="2" t="inlineStr">
        <is>
          <t>에머슨 프리미엄 오션 스위트 금요일</t>
        </is>
      </c>
      <c r="H39" s="2" t="inlineStr"/>
      <c r="I39" s="2" t="inlineStr">
        <is>
          <t>금요일</t>
        </is>
      </c>
      <c r="J39" s="2" t="inlineStr">
        <is>
          <t>종일</t>
        </is>
      </c>
      <c r="K39" s="2" t="n">
        <v>460000</v>
      </c>
      <c r="L39" s="2" t="n">
        <v>230000</v>
      </c>
      <c r="M39" s="2" t="n">
        <v>50</v>
      </c>
      <c r="N39" s="2" t="n">
        <v>50</v>
      </c>
      <c r="O39" s="2" t="inlineStr">
        <is>
          <t>1</t>
        </is>
      </c>
      <c r="P39" s="2" t="inlineStr">
        <is>
          <t>날짜지정</t>
        </is>
      </c>
      <c r="Q39" s="2" t="inlineStr">
        <is>
          <t>2026-09-10</t>
        </is>
      </c>
      <c r="R39" s="2" t="inlineStr">
        <is>
          <t>날짜지정</t>
        </is>
      </c>
      <c r="S39" s="2" t="inlineStr">
        <is>
          <t>2026-12-29</t>
        </is>
      </c>
      <c r="T39" s="2" t="b">
        <v>0</v>
      </c>
    </row>
    <row r="40">
      <c r="A40" s="2" t="inlineStr">
        <is>
          <t>328673</t>
        </is>
      </c>
      <c r="B40" s="2" t="inlineStr">
        <is>
          <t>4261746</t>
        </is>
      </c>
      <c r="C40" s="2" t="inlineStr">
        <is>
          <t>숙박</t>
        </is>
      </c>
      <c r="D40" s="2" t="inlineStr">
        <is>
          <t>숙박</t>
        </is>
      </c>
      <c r="E40" s="2" t="inlineStr">
        <is>
          <t>강원</t>
        </is>
      </c>
      <c r="F40" s="2" t="inlineStr">
        <is>
          <t>에머슨 스위트 낙산</t>
        </is>
      </c>
      <c r="G40" s="2" t="inlineStr">
        <is>
          <t>에머슨 풀 오션 스위트 토요일</t>
        </is>
      </c>
      <c r="H40" s="2" t="inlineStr"/>
      <c r="I40" s="2" t="inlineStr">
        <is>
          <t>토요일</t>
        </is>
      </c>
      <c r="J40" s="2" t="inlineStr">
        <is>
          <t>종일</t>
        </is>
      </c>
      <c r="K40" s="2" t="n">
        <v>470000</v>
      </c>
      <c r="L40" s="2" t="n">
        <v>235000</v>
      </c>
      <c r="M40" s="2" t="n">
        <v>50</v>
      </c>
      <c r="N40" s="2" t="n">
        <v>50</v>
      </c>
      <c r="O40" s="2" t="inlineStr">
        <is>
          <t>1</t>
        </is>
      </c>
      <c r="P40" s="2" t="inlineStr">
        <is>
          <t>날짜지정</t>
        </is>
      </c>
      <c r="Q40" s="2" t="inlineStr">
        <is>
          <t>2026-09-10</t>
        </is>
      </c>
      <c r="R40" s="2" t="inlineStr">
        <is>
          <t>날짜지정</t>
        </is>
      </c>
      <c r="S40" s="2" t="inlineStr">
        <is>
          <t>2026-12-29</t>
        </is>
      </c>
      <c r="T40" s="2" t="b">
        <v>0</v>
      </c>
    </row>
    <row r="41">
      <c r="A41" s="2" t="inlineStr">
        <is>
          <t>328673</t>
        </is>
      </c>
      <c r="B41" s="2" t="inlineStr">
        <is>
          <t>4261749</t>
        </is>
      </c>
      <c r="C41" s="2" t="inlineStr">
        <is>
          <t>숙박</t>
        </is>
      </c>
      <c r="D41" s="2" t="inlineStr">
        <is>
          <t>숙박</t>
        </is>
      </c>
      <c r="E41" s="2" t="inlineStr">
        <is>
          <t>강원</t>
        </is>
      </c>
      <c r="F41" s="2" t="inlineStr">
        <is>
          <t>에머슨 스위트 낙산</t>
        </is>
      </c>
      <c r="G41" s="2" t="inlineStr">
        <is>
          <t>에머슨 프리미엄 오션 스위트 토요일</t>
        </is>
      </c>
      <c r="H41" s="2" t="inlineStr"/>
      <c r="I41" s="2" t="inlineStr">
        <is>
          <t>토요일</t>
        </is>
      </c>
      <c r="J41" s="2" t="inlineStr">
        <is>
          <t>종일</t>
        </is>
      </c>
      <c r="K41" s="2" t="n">
        <v>494000</v>
      </c>
      <c r="L41" s="2" t="n">
        <v>247000</v>
      </c>
      <c r="M41" s="2" t="n">
        <v>50</v>
      </c>
      <c r="N41" s="2" t="n">
        <v>50</v>
      </c>
      <c r="O41" s="2" t="inlineStr">
        <is>
          <t>1</t>
        </is>
      </c>
      <c r="P41" s="2" t="inlineStr">
        <is>
          <t>날짜지정</t>
        </is>
      </c>
      <c r="Q41" s="2" t="inlineStr">
        <is>
          <t>2026-09-10</t>
        </is>
      </c>
      <c r="R41" s="2" t="inlineStr">
        <is>
          <t>날짜지정</t>
        </is>
      </c>
      <c r="S41" s="2" t="inlineStr">
        <is>
          <t>2026-12-29</t>
        </is>
      </c>
      <c r="T41" s="2" t="b">
        <v>0</v>
      </c>
    </row>
    <row r="42">
      <c r="A42" s="2" t="inlineStr">
        <is>
          <t>328673</t>
        </is>
      </c>
      <c r="B42" s="2" t="inlineStr">
        <is>
          <t>4261750</t>
        </is>
      </c>
      <c r="C42" s="2" t="inlineStr">
        <is>
          <t>숙박</t>
        </is>
      </c>
      <c r="D42" s="2" t="inlineStr">
        <is>
          <t>숙박</t>
        </is>
      </c>
      <c r="E42" s="2" t="inlineStr">
        <is>
          <t>강원</t>
        </is>
      </c>
      <c r="F42" s="2" t="inlineStr">
        <is>
          <t>에머슨 스위트 낙산</t>
        </is>
      </c>
      <c r="G42" s="2" t="inlineStr">
        <is>
          <t>그랜드 디럭스 더블(하프 오션) 공휴일</t>
        </is>
      </c>
      <c r="H42" s="2" t="inlineStr"/>
      <c r="I42" s="2" t="inlineStr">
        <is>
          <t>주중+주말</t>
        </is>
      </c>
      <c r="J42" s="2" t="inlineStr">
        <is>
          <t>종일</t>
        </is>
      </c>
      <c r="K42" s="2" t="n">
        <v>494000</v>
      </c>
      <c r="L42" s="2" t="n">
        <v>247000</v>
      </c>
      <c r="M42" s="2" t="n">
        <v>50</v>
      </c>
      <c r="N42" s="2" t="n">
        <v>50</v>
      </c>
      <c r="O42" s="2" t="inlineStr">
        <is>
          <t>1</t>
        </is>
      </c>
      <c r="P42" s="2" t="inlineStr">
        <is>
          <t>날짜지정</t>
        </is>
      </c>
      <c r="Q42" s="2" t="inlineStr">
        <is>
          <t>2026-09-10</t>
        </is>
      </c>
      <c r="R42" s="2" t="inlineStr">
        <is>
          <t>날짜지정</t>
        </is>
      </c>
      <c r="S42" s="2" t="inlineStr">
        <is>
          <t>2026-12-29</t>
        </is>
      </c>
      <c r="T42" s="2" t="b">
        <v>0</v>
      </c>
    </row>
    <row r="43">
      <c r="A43" s="2" t="inlineStr">
        <is>
          <t>328673</t>
        </is>
      </c>
      <c r="B43" s="2" t="inlineStr">
        <is>
          <t>4261751</t>
        </is>
      </c>
      <c r="C43" s="2" t="inlineStr">
        <is>
          <t>숙박</t>
        </is>
      </c>
      <c r="D43" s="2" t="inlineStr">
        <is>
          <t>숙박</t>
        </is>
      </c>
      <c r="E43" s="2" t="inlineStr">
        <is>
          <t>강원</t>
        </is>
      </c>
      <c r="F43" s="2" t="inlineStr">
        <is>
          <t>에머슨 스위트 낙산</t>
        </is>
      </c>
      <c r="G43" s="2" t="inlineStr">
        <is>
          <t>에머슨 하프 오션 스위트 공휴일</t>
        </is>
      </c>
      <c r="H43" s="2" t="inlineStr"/>
      <c r="I43" s="2" t="inlineStr">
        <is>
          <t>주중+주말</t>
        </is>
      </c>
      <c r="J43" s="2" t="inlineStr">
        <is>
          <t>종일</t>
        </is>
      </c>
      <c r="K43" s="2" t="n">
        <v>580000</v>
      </c>
      <c r="L43" s="2" t="n">
        <v>290000</v>
      </c>
      <c r="M43" s="2" t="n">
        <v>50</v>
      </c>
      <c r="N43" s="2" t="n">
        <v>50</v>
      </c>
      <c r="O43" s="2" t="inlineStr">
        <is>
          <t>1</t>
        </is>
      </c>
      <c r="P43" s="2" t="inlineStr">
        <is>
          <t>날짜지정</t>
        </is>
      </c>
      <c r="Q43" s="2" t="inlineStr">
        <is>
          <t>2026-09-10</t>
        </is>
      </c>
      <c r="R43" s="2" t="inlineStr">
        <is>
          <t>날짜지정</t>
        </is>
      </c>
      <c r="S43" s="2" t="inlineStr">
        <is>
          <t>2026-12-29</t>
        </is>
      </c>
      <c r="T43" s="2" t="b">
        <v>0</v>
      </c>
    </row>
    <row r="44">
      <c r="A44" s="2" t="inlineStr">
        <is>
          <t>328673</t>
        </is>
      </c>
      <c r="B44" s="2" t="inlineStr">
        <is>
          <t>4261752</t>
        </is>
      </c>
      <c r="C44" s="2" t="inlineStr">
        <is>
          <t>숙박</t>
        </is>
      </c>
      <c r="D44" s="2" t="inlineStr">
        <is>
          <t>숙박</t>
        </is>
      </c>
      <c r="E44" s="2" t="inlineStr">
        <is>
          <t>강원</t>
        </is>
      </c>
      <c r="F44" s="2" t="inlineStr">
        <is>
          <t>에머슨 스위트 낙산</t>
        </is>
      </c>
      <c r="G44" s="2" t="inlineStr">
        <is>
          <t>에머슨 오션 스위트 공휴일</t>
        </is>
      </c>
      <c r="H44" s="2" t="inlineStr"/>
      <c r="I44" s="2" t="inlineStr">
        <is>
          <t>주중+주말</t>
        </is>
      </c>
      <c r="J44" s="2" t="inlineStr">
        <is>
          <t>종일</t>
        </is>
      </c>
      <c r="K44" s="2" t="n">
        <v>604000</v>
      </c>
      <c r="L44" s="2" t="n">
        <v>302000</v>
      </c>
      <c r="M44" s="2" t="n">
        <v>50</v>
      </c>
      <c r="N44" s="2" t="n">
        <v>50</v>
      </c>
      <c r="O44" s="2" t="inlineStr">
        <is>
          <t>1</t>
        </is>
      </c>
      <c r="P44" s="2" t="inlineStr">
        <is>
          <t>날짜지정</t>
        </is>
      </c>
      <c r="Q44" s="2" t="inlineStr">
        <is>
          <t>2026-09-10</t>
        </is>
      </c>
      <c r="R44" s="2" t="inlineStr">
        <is>
          <t>날짜지정</t>
        </is>
      </c>
      <c r="S44" s="2" t="inlineStr">
        <is>
          <t>2026-12-29</t>
        </is>
      </c>
      <c r="T44" s="2" t="b">
        <v>0</v>
      </c>
    </row>
    <row r="45">
      <c r="A45" s="2" t="inlineStr">
        <is>
          <t>328673</t>
        </is>
      </c>
      <c r="B45" s="2" t="inlineStr">
        <is>
          <t>4261753</t>
        </is>
      </c>
      <c r="C45" s="2" t="inlineStr">
        <is>
          <t>숙박</t>
        </is>
      </c>
      <c r="D45" s="2" t="inlineStr">
        <is>
          <t>숙박</t>
        </is>
      </c>
      <c r="E45" s="2" t="inlineStr">
        <is>
          <t>강원</t>
        </is>
      </c>
      <c r="F45" s="2" t="inlineStr">
        <is>
          <t>에머슨 스위트 낙산</t>
        </is>
      </c>
      <c r="G45" s="2" t="inlineStr">
        <is>
          <t>에머슨 풀 오션 스위트 공휴일</t>
        </is>
      </c>
      <c r="H45" s="2" t="inlineStr"/>
      <c r="I45" s="2" t="inlineStr">
        <is>
          <t>주중+주말</t>
        </is>
      </c>
      <c r="J45" s="2" t="inlineStr">
        <is>
          <t>종일</t>
        </is>
      </c>
      <c r="K45" s="2" t="n">
        <v>660000</v>
      </c>
      <c r="L45" s="2" t="n">
        <v>330000</v>
      </c>
      <c r="M45" s="2" t="n">
        <v>50</v>
      </c>
      <c r="N45" s="2" t="n">
        <v>50</v>
      </c>
      <c r="O45" s="2" t="inlineStr">
        <is>
          <t>1</t>
        </is>
      </c>
      <c r="P45" s="2" t="inlineStr">
        <is>
          <t>날짜지정</t>
        </is>
      </c>
      <c r="Q45" s="2" t="inlineStr">
        <is>
          <t>2026-09-10</t>
        </is>
      </c>
      <c r="R45" s="2" t="inlineStr">
        <is>
          <t>날짜지정</t>
        </is>
      </c>
      <c r="S45" s="2" t="inlineStr">
        <is>
          <t>2026-12-29</t>
        </is>
      </c>
      <c r="T45" s="2" t="b">
        <v>0</v>
      </c>
    </row>
    <row r="46">
      <c r="A46" s="2" t="inlineStr">
        <is>
          <t>328673</t>
        </is>
      </c>
      <c r="B46" s="2" t="inlineStr">
        <is>
          <t>4261754</t>
        </is>
      </c>
      <c r="C46" s="2" t="inlineStr">
        <is>
          <t>숙박</t>
        </is>
      </c>
      <c r="D46" s="2" t="inlineStr">
        <is>
          <t>숙박</t>
        </is>
      </c>
      <c r="E46" s="2" t="inlineStr">
        <is>
          <t>강원</t>
        </is>
      </c>
      <c r="F46" s="2" t="inlineStr">
        <is>
          <t>에머슨 스위트 낙산</t>
        </is>
      </c>
      <c r="G46" s="2" t="inlineStr">
        <is>
          <t>에머슨 프리미엄 오션 스위트 공휴일</t>
        </is>
      </c>
      <c r="H46" s="2" t="inlineStr"/>
      <c r="I46" s="2" t="inlineStr">
        <is>
          <t>주중+주말</t>
        </is>
      </c>
      <c r="J46" s="2" t="inlineStr">
        <is>
          <t>종일</t>
        </is>
      </c>
      <c r="K46" s="2" t="n">
        <v>726000</v>
      </c>
      <c r="L46" s="2" t="n">
        <v>363000</v>
      </c>
      <c r="M46" s="2" t="n">
        <v>50</v>
      </c>
      <c r="N46" s="2" t="n">
        <v>50</v>
      </c>
      <c r="O46" s="2" t="inlineStr">
        <is>
          <t>1</t>
        </is>
      </c>
      <c r="P46" s="2" t="inlineStr">
        <is>
          <t>날짜지정</t>
        </is>
      </c>
      <c r="Q46" s="2" t="inlineStr">
        <is>
          <t>2026-09-10</t>
        </is>
      </c>
      <c r="R46" s="2" t="inlineStr">
        <is>
          <t>날짜지정</t>
        </is>
      </c>
      <c r="S46" s="2" t="inlineStr">
        <is>
          <t>2026-12-29</t>
        </is>
      </c>
      <c r="T46" s="2" t="b">
        <v>0</v>
      </c>
    </row>
    <row r="47">
      <c r="A47" s="2" t="inlineStr">
        <is>
          <t>329434</t>
        </is>
      </c>
      <c r="B47" s="2" t="inlineStr">
        <is>
          <t>4272485</t>
        </is>
      </c>
      <c r="C47" s="2" t="inlineStr">
        <is>
          <t>워터파크</t>
        </is>
      </c>
      <c r="D47" s="2" t="inlineStr">
        <is>
          <t>워터파크</t>
        </is>
      </c>
      <c r="E47" s="2" t="inlineStr">
        <is>
          <t>의정부</t>
        </is>
      </c>
      <c r="F47" s="2" t="inlineStr">
        <is>
          <t>장암 아일랜드캐슬 워터파크 1인 종일권</t>
        </is>
      </c>
      <c r="G47" s="2" t="inlineStr">
        <is>
          <t>(대소공통)장암 1인 종일권 (9/4~10/31)*구명조끼 미포함</t>
        </is>
      </c>
      <c r="H47" s="2" t="inlineStr">
        <is>
          <t>대소공통</t>
        </is>
      </c>
      <c r="I47" s="2" t="inlineStr">
        <is>
          <t>주중+주말</t>
        </is>
      </c>
      <c r="J47" s="2" t="inlineStr">
        <is>
          <t>종일</t>
        </is>
      </c>
      <c r="K47" s="2" t="n">
        <v>45000</v>
      </c>
      <c r="L47" s="2" t="n">
        <v>21000</v>
      </c>
      <c r="M47" s="2" t="n">
        <v>53</v>
      </c>
      <c r="N47" s="2" t="n">
        <v>53.3</v>
      </c>
      <c r="O47" s="2" t="inlineStr">
        <is>
          <t>1</t>
        </is>
      </c>
      <c r="P47" s="2" t="inlineStr">
        <is>
          <t>날짜지정</t>
        </is>
      </c>
      <c r="Q47" s="2" t="inlineStr">
        <is>
          <t>2026-09-04</t>
        </is>
      </c>
      <c r="R47" s="2" t="inlineStr">
        <is>
          <t>날짜지정</t>
        </is>
      </c>
      <c r="S47" s="2" t="inlineStr">
        <is>
          <t>2026-10-31</t>
        </is>
      </c>
      <c r="T47" s="2" t="b">
        <v>1</v>
      </c>
    </row>
    <row r="48">
      <c r="A48" s="2" t="inlineStr">
        <is>
          <t>225306</t>
        </is>
      </c>
      <c r="B48" s="2" t="inlineStr">
        <is>
          <t>1795188</t>
        </is>
      </c>
      <c r="C48" s="2" t="inlineStr">
        <is>
          <t>서울베스트의료의원</t>
        </is>
      </c>
      <c r="D48" s="2" t="inlineStr">
        <is>
          <t>건강검진</t>
        </is>
      </c>
      <c r="E48" s="2" t="inlineStr">
        <is>
          <t>서울</t>
        </is>
      </c>
      <c r="F48" s="2" t="inlineStr">
        <is>
          <t>서울베스트의료의원 건강검진</t>
        </is>
      </c>
      <c r="G48" s="2" t="inlineStr">
        <is>
          <t>종합건강검진 A형</t>
        </is>
      </c>
      <c r="H48" s="2" t="inlineStr"/>
      <c r="I48" s="2" t="inlineStr"/>
      <c r="J48" s="2" t="inlineStr"/>
      <c r="K48" s="2" t="n">
        <v>0</v>
      </c>
      <c r="L48" s="2" t="n">
        <v>250000</v>
      </c>
      <c r="M48" s="2" t="n">
        <v>0</v>
      </c>
      <c r="N48" s="2" t="n"/>
      <c r="O48" s="2" t="inlineStr">
        <is>
          <t>1</t>
        </is>
      </c>
      <c r="P48" s="2" t="inlineStr">
        <is>
          <t>구매일</t>
        </is>
      </c>
      <c r="Q48" s="2" t="inlineStr">
        <is>
          <t>0</t>
        </is>
      </c>
      <c r="R48" s="2" t="inlineStr">
        <is>
          <t>구매일</t>
        </is>
      </c>
      <c r="S48" s="2" t="inlineStr">
        <is>
          <t>0</t>
        </is>
      </c>
      <c r="T48" s="2" t="b">
        <v>1</v>
      </c>
    </row>
    <row r="49">
      <c r="A49" s="2" t="inlineStr">
        <is>
          <t>225306</t>
        </is>
      </c>
      <c r="B49" s="2" t="inlineStr">
        <is>
          <t>1795189</t>
        </is>
      </c>
      <c r="C49" s="2" t="inlineStr">
        <is>
          <t>서울베스트의료의원</t>
        </is>
      </c>
      <c r="D49" s="2" t="inlineStr">
        <is>
          <t>건강검진</t>
        </is>
      </c>
      <c r="E49" s="2" t="inlineStr">
        <is>
          <t>서울</t>
        </is>
      </c>
      <c r="F49" s="2" t="inlineStr">
        <is>
          <t>서울베스트의료의원 건강검진</t>
        </is>
      </c>
      <c r="G49" s="2" t="inlineStr">
        <is>
          <t>종합건강검진 B형</t>
        </is>
      </c>
      <c r="H49" s="2" t="inlineStr"/>
      <c r="I49" s="2" t="inlineStr"/>
      <c r="J49" s="2" t="inlineStr"/>
      <c r="K49" s="2" t="n">
        <v>0</v>
      </c>
      <c r="L49" s="2" t="n">
        <v>300000</v>
      </c>
      <c r="M49" s="2" t="n">
        <v>0</v>
      </c>
      <c r="N49" s="2" t="n"/>
      <c r="O49" s="2" t="inlineStr">
        <is>
          <t>1</t>
        </is>
      </c>
      <c r="P49" s="2" t="inlineStr">
        <is>
          <t>구매일</t>
        </is>
      </c>
      <c r="Q49" s="2" t="inlineStr">
        <is>
          <t>0</t>
        </is>
      </c>
      <c r="R49" s="2" t="inlineStr">
        <is>
          <t>구매일</t>
        </is>
      </c>
      <c r="S49" s="2" t="inlineStr">
        <is>
          <t>0</t>
        </is>
      </c>
      <c r="T49" s="2" t="b">
        <v>0</v>
      </c>
    </row>
    <row r="50">
      <c r="A50" s="2" t="inlineStr">
        <is>
          <t>225306</t>
        </is>
      </c>
      <c r="B50" s="2" t="inlineStr">
        <is>
          <t>1795190</t>
        </is>
      </c>
      <c r="C50" s="2" t="inlineStr">
        <is>
          <t>서울베스트의료의원</t>
        </is>
      </c>
      <c r="D50" s="2" t="inlineStr">
        <is>
          <t>건강검진</t>
        </is>
      </c>
      <c r="E50" s="2" t="inlineStr">
        <is>
          <t>서울</t>
        </is>
      </c>
      <c r="F50" s="2" t="inlineStr">
        <is>
          <t>서울베스트의료의원 건강검진</t>
        </is>
      </c>
      <c r="G50" s="2" t="inlineStr">
        <is>
          <t>종합건강검진 C형</t>
        </is>
      </c>
      <c r="H50" s="2" t="inlineStr"/>
      <c r="I50" s="2" t="inlineStr"/>
      <c r="J50" s="2" t="inlineStr"/>
      <c r="K50" s="2" t="n">
        <v>0</v>
      </c>
      <c r="L50" s="2" t="n">
        <v>500000</v>
      </c>
      <c r="M50" s="2" t="n">
        <v>0</v>
      </c>
      <c r="N50" s="2" t="n"/>
      <c r="O50" s="2" t="inlineStr">
        <is>
          <t>1</t>
        </is>
      </c>
      <c r="P50" s="2" t="inlineStr">
        <is>
          <t>구매일</t>
        </is>
      </c>
      <c r="Q50" s="2" t="inlineStr">
        <is>
          <t>0</t>
        </is>
      </c>
      <c r="R50" s="2" t="inlineStr">
        <is>
          <t>구매일</t>
        </is>
      </c>
      <c r="S50" s="2" t="inlineStr">
        <is>
          <t>0</t>
        </is>
      </c>
      <c r="T50" s="2" t="b">
        <v>0</v>
      </c>
    </row>
    <row r="51">
      <c r="A51" s="2" t="inlineStr">
        <is>
          <t>324512</t>
        </is>
      </c>
      <c r="B51" s="2" t="inlineStr">
        <is>
          <t>4137407</t>
        </is>
      </c>
      <c r="C51" s="2" t="inlineStr">
        <is>
          <t>레져</t>
        </is>
      </c>
      <c r="D51" s="2" t="inlineStr">
        <is>
          <t>액티비티</t>
        </is>
      </c>
      <c r="E51" s="2" t="inlineStr">
        <is>
          <t>영월</t>
        </is>
      </c>
      <c r="F51" s="2" t="inlineStr">
        <is>
          <t>동강흥국래프팅</t>
        </is>
      </c>
      <c r="G51" s="2" t="inlineStr">
        <is>
          <t>워터밤 물총 대여 동강흥국래프팅(~9/30)</t>
        </is>
      </c>
      <c r="H51" s="2" t="inlineStr">
        <is>
          <t>대소공통</t>
        </is>
      </c>
      <c r="I51" s="2" t="inlineStr">
        <is>
          <t>주중+주말</t>
        </is>
      </c>
      <c r="J51" s="2" t="inlineStr"/>
      <c r="K51" s="2" t="n">
        <v>15000</v>
      </c>
      <c r="L51" s="2" t="n">
        <v>10000</v>
      </c>
      <c r="M51" s="2" t="n">
        <v>33</v>
      </c>
      <c r="N51" s="2" t="n">
        <v>33.3</v>
      </c>
      <c r="O51" s="2" t="inlineStr">
        <is>
          <t>1</t>
        </is>
      </c>
      <c r="P51" s="2" t="inlineStr">
        <is>
          <t>구매일</t>
        </is>
      </c>
      <c r="Q51" s="2" t="inlineStr">
        <is>
          <t>0</t>
        </is>
      </c>
      <c r="R51" s="2" t="inlineStr">
        <is>
          <t>날짜지정</t>
        </is>
      </c>
      <c r="S51" s="2" t="inlineStr">
        <is>
          <t>2026-09-30</t>
        </is>
      </c>
      <c r="T51" s="2" t="b">
        <v>1</v>
      </c>
    </row>
    <row r="52">
      <c r="A52" s="2" t="inlineStr">
        <is>
          <t>324512</t>
        </is>
      </c>
      <c r="B52" s="2" t="inlineStr">
        <is>
          <t>4137389</t>
        </is>
      </c>
      <c r="C52" s="2" t="inlineStr">
        <is>
          <t>레져</t>
        </is>
      </c>
      <c r="D52" s="2" t="inlineStr">
        <is>
          <t>액티비티</t>
        </is>
      </c>
      <c r="E52" s="2" t="inlineStr">
        <is>
          <t>영월</t>
        </is>
      </c>
      <c r="F52" s="2" t="inlineStr">
        <is>
          <t>동강흥국래프팅</t>
        </is>
      </c>
      <c r="G52" s="2" t="inlineStr">
        <is>
          <t>래프팅 1인 이용권 동강흥국래프팅(~9/30)</t>
        </is>
      </c>
      <c r="H52" s="2" t="inlineStr">
        <is>
          <t>대소공통</t>
        </is>
      </c>
      <c r="I52" s="2" t="inlineStr">
        <is>
          <t>주중+주말</t>
        </is>
      </c>
      <c r="J52" s="2" t="inlineStr"/>
      <c r="K52" s="2" t="n">
        <v>45000</v>
      </c>
      <c r="L52" s="2" t="n">
        <v>30000</v>
      </c>
      <c r="M52" s="2" t="n">
        <v>33</v>
      </c>
      <c r="N52" s="2" t="n">
        <v>33.3</v>
      </c>
      <c r="O52" s="2" t="inlineStr">
        <is>
          <t>1</t>
        </is>
      </c>
      <c r="P52" s="2" t="inlineStr">
        <is>
          <t>날짜지정</t>
        </is>
      </c>
      <c r="Q52" s="2" t="inlineStr">
        <is>
          <t>2026-06-17</t>
        </is>
      </c>
      <c r="R52" s="2" t="inlineStr">
        <is>
          <t>날짜지정</t>
        </is>
      </c>
      <c r="S52" s="2" t="inlineStr">
        <is>
          <t>2026-09-30</t>
        </is>
      </c>
      <c r="T52" s="2" t="b">
        <v>0</v>
      </c>
    </row>
    <row r="53">
      <c r="A53" s="2" t="inlineStr">
        <is>
          <t>324512</t>
        </is>
      </c>
      <c r="B53" s="2" t="inlineStr">
        <is>
          <t>4137393</t>
        </is>
      </c>
      <c r="C53" s="2" t="inlineStr">
        <is>
          <t>레져</t>
        </is>
      </c>
      <c r="D53" s="2" t="inlineStr">
        <is>
          <t>액티비티</t>
        </is>
      </c>
      <c r="E53" s="2" t="inlineStr">
        <is>
          <t>영월</t>
        </is>
      </c>
      <c r="F53" s="2" t="inlineStr">
        <is>
          <t>동강흥국래프팅</t>
        </is>
      </c>
      <c r="G53" s="2" t="inlineStr">
        <is>
          <t>래프팅+다슬기체험 동강흥국래프팅(~9/30)</t>
        </is>
      </c>
      <c r="H53" s="2" t="inlineStr">
        <is>
          <t>대소공통</t>
        </is>
      </c>
      <c r="I53" s="2" t="inlineStr">
        <is>
          <t>주중+주말</t>
        </is>
      </c>
      <c r="J53" s="2" t="inlineStr"/>
      <c r="K53" s="2" t="n">
        <v>55000</v>
      </c>
      <c r="L53" s="2" t="n">
        <v>35000</v>
      </c>
      <c r="M53" s="2" t="n">
        <v>36</v>
      </c>
      <c r="N53" s="2" t="n">
        <v>36.4</v>
      </c>
      <c r="O53" s="2" t="inlineStr">
        <is>
          <t>1</t>
        </is>
      </c>
      <c r="P53" s="2" t="inlineStr">
        <is>
          <t>구매일</t>
        </is>
      </c>
      <c r="Q53" s="2" t="inlineStr">
        <is>
          <t>0</t>
        </is>
      </c>
      <c r="R53" s="2" t="inlineStr">
        <is>
          <t>날짜지정</t>
        </is>
      </c>
      <c r="S53" s="2" t="inlineStr">
        <is>
          <t>2026-09-30</t>
        </is>
      </c>
      <c r="T53" s="2" t="b">
        <v>0</v>
      </c>
    </row>
    <row r="54">
      <c r="A54" s="2" t="inlineStr">
        <is>
          <t>324512</t>
        </is>
      </c>
      <c r="B54" s="2" t="inlineStr">
        <is>
          <t>4137405</t>
        </is>
      </c>
      <c r="C54" s="2" t="inlineStr">
        <is>
          <t>레져</t>
        </is>
      </c>
      <c r="D54" s="2" t="inlineStr">
        <is>
          <t>액티비티</t>
        </is>
      </c>
      <c r="E54" s="2" t="inlineStr">
        <is>
          <t>영월</t>
        </is>
      </c>
      <c r="F54" s="2" t="inlineStr">
        <is>
          <t>동강흥국래프팅</t>
        </is>
      </c>
      <c r="G54" s="2" t="inlineStr">
        <is>
          <t>래프팅+조식or중식 동강흥국래프팅(~9/30)</t>
        </is>
      </c>
      <c r="H54" s="2" t="inlineStr">
        <is>
          <t>대소공통</t>
        </is>
      </c>
      <c r="I54" s="2" t="inlineStr">
        <is>
          <t>주중+주말</t>
        </is>
      </c>
      <c r="J54" s="2" t="inlineStr"/>
      <c r="K54" s="2" t="n">
        <v>51000</v>
      </c>
      <c r="L54" s="2" t="n">
        <v>38000</v>
      </c>
      <c r="M54" s="2" t="n">
        <v>25</v>
      </c>
      <c r="N54" s="2" t="n">
        <v>25.5</v>
      </c>
      <c r="O54" s="2" t="inlineStr">
        <is>
          <t>1</t>
        </is>
      </c>
      <c r="P54" s="2" t="inlineStr">
        <is>
          <t>구매일</t>
        </is>
      </c>
      <c r="Q54" s="2" t="inlineStr">
        <is>
          <t>0</t>
        </is>
      </c>
      <c r="R54" s="2" t="inlineStr">
        <is>
          <t>날짜지정</t>
        </is>
      </c>
      <c r="S54" s="2" t="inlineStr">
        <is>
          <t>2026-09-30</t>
        </is>
      </c>
      <c r="T54" s="2" t="b">
        <v>0</v>
      </c>
    </row>
    <row r="55">
      <c r="A55" s="2" t="inlineStr">
        <is>
          <t>324512</t>
        </is>
      </c>
      <c r="B55" s="2" t="inlineStr">
        <is>
          <t>4137395</t>
        </is>
      </c>
      <c r="C55" s="2" t="inlineStr">
        <is>
          <t>레져</t>
        </is>
      </c>
      <c r="D55" s="2" t="inlineStr">
        <is>
          <t>액티비티</t>
        </is>
      </c>
      <c r="E55" s="2" t="inlineStr">
        <is>
          <t>영월</t>
        </is>
      </c>
      <c r="F55" s="2" t="inlineStr">
        <is>
          <t>동강흥국래프팅</t>
        </is>
      </c>
      <c r="G55" s="2" t="inlineStr">
        <is>
          <t>래프팅+닭백숙 동강흥국래프팅(~9/30)</t>
        </is>
      </c>
      <c r="H55" s="2" t="inlineStr">
        <is>
          <t>대소공통</t>
        </is>
      </c>
      <c r="I55" s="2" t="inlineStr">
        <is>
          <t>주중+주말</t>
        </is>
      </c>
      <c r="J55" s="2" t="inlineStr"/>
      <c r="K55" s="2" t="n">
        <v>60000</v>
      </c>
      <c r="L55" s="2" t="n">
        <v>45000</v>
      </c>
      <c r="M55" s="2" t="n">
        <v>25</v>
      </c>
      <c r="N55" s="2" t="n">
        <v>25</v>
      </c>
      <c r="O55" s="2" t="inlineStr">
        <is>
          <t>1</t>
        </is>
      </c>
      <c r="P55" s="2" t="inlineStr">
        <is>
          <t>구매일</t>
        </is>
      </c>
      <c r="Q55" s="2" t="inlineStr">
        <is>
          <t>0</t>
        </is>
      </c>
      <c r="R55" s="2" t="inlineStr">
        <is>
          <t>날짜지정</t>
        </is>
      </c>
      <c r="S55" s="2" t="inlineStr">
        <is>
          <t>2026-09-30</t>
        </is>
      </c>
      <c r="T55" s="2" t="b">
        <v>0</v>
      </c>
    </row>
    <row r="56">
      <c r="A56" s="2" t="inlineStr">
        <is>
          <t>324512</t>
        </is>
      </c>
      <c r="B56" s="2" t="inlineStr">
        <is>
          <t>4137397</t>
        </is>
      </c>
      <c r="C56" s="2" t="inlineStr">
        <is>
          <t>레져</t>
        </is>
      </c>
      <c r="D56" s="2" t="inlineStr">
        <is>
          <t>액티비티</t>
        </is>
      </c>
      <c r="E56" s="2" t="inlineStr">
        <is>
          <t>영월</t>
        </is>
      </c>
      <c r="F56" s="2" t="inlineStr">
        <is>
          <t>동강흥국래프팅</t>
        </is>
      </c>
      <c r="G56" s="2" t="inlineStr">
        <is>
          <t>래프팅+닭볶음탕 동강흥국래프팅(~9/30)</t>
        </is>
      </c>
      <c r="H56" s="2" t="inlineStr">
        <is>
          <t>대소공통</t>
        </is>
      </c>
      <c r="I56" s="2" t="inlineStr">
        <is>
          <t>주중+주말</t>
        </is>
      </c>
      <c r="J56" s="2" t="inlineStr"/>
      <c r="K56" s="2" t="n">
        <v>60000</v>
      </c>
      <c r="L56" s="2" t="n">
        <v>45000</v>
      </c>
      <c r="M56" s="2" t="n">
        <v>25</v>
      </c>
      <c r="N56" s="2" t="n">
        <v>25</v>
      </c>
      <c r="O56" s="2" t="inlineStr">
        <is>
          <t>1</t>
        </is>
      </c>
      <c r="P56" s="2" t="inlineStr">
        <is>
          <t>구매일</t>
        </is>
      </c>
      <c r="Q56" s="2" t="inlineStr">
        <is>
          <t>0</t>
        </is>
      </c>
      <c r="R56" s="2" t="inlineStr">
        <is>
          <t>날짜지정</t>
        </is>
      </c>
      <c r="S56" s="2" t="inlineStr">
        <is>
          <t>2026-09-30</t>
        </is>
      </c>
      <c r="T56" s="2" t="b">
        <v>0</v>
      </c>
    </row>
    <row r="57">
      <c r="A57" s="2" t="inlineStr">
        <is>
          <t>324512</t>
        </is>
      </c>
      <c r="B57" s="2" t="inlineStr">
        <is>
          <t>4137401</t>
        </is>
      </c>
      <c r="C57" s="2" t="inlineStr">
        <is>
          <t>레져</t>
        </is>
      </c>
      <c r="D57" s="2" t="inlineStr">
        <is>
          <t>액티비티</t>
        </is>
      </c>
      <c r="E57" s="2" t="inlineStr">
        <is>
          <t>영월</t>
        </is>
      </c>
      <c r="F57" s="2" t="inlineStr">
        <is>
          <t>동강흥국래프팅</t>
        </is>
      </c>
      <c r="G57" s="2" t="inlineStr">
        <is>
          <t>래프팅+민물매운탕 동강흥국래프팅(~9/30)</t>
        </is>
      </c>
      <c r="H57" s="2" t="inlineStr">
        <is>
          <t>대소공통</t>
        </is>
      </c>
      <c r="I57" s="2" t="inlineStr">
        <is>
          <t>주중+주말</t>
        </is>
      </c>
      <c r="J57" s="2" t="inlineStr"/>
      <c r="K57" s="2" t="n">
        <v>60000</v>
      </c>
      <c r="L57" s="2" t="n">
        <v>45000</v>
      </c>
      <c r="M57" s="2" t="n">
        <v>25</v>
      </c>
      <c r="N57" s="2" t="n">
        <v>25</v>
      </c>
      <c r="O57" s="2" t="inlineStr">
        <is>
          <t>1</t>
        </is>
      </c>
      <c r="P57" s="2" t="inlineStr">
        <is>
          <t>구매일</t>
        </is>
      </c>
      <c r="Q57" s="2" t="inlineStr">
        <is>
          <t>0</t>
        </is>
      </c>
      <c r="R57" s="2" t="inlineStr">
        <is>
          <t>날짜지정</t>
        </is>
      </c>
      <c r="S57" s="2" t="inlineStr">
        <is>
          <t>2026-09-30</t>
        </is>
      </c>
      <c r="T57" s="2" t="b">
        <v>0</v>
      </c>
    </row>
    <row r="58">
      <c r="A58" s="2" t="inlineStr">
        <is>
          <t>324512</t>
        </is>
      </c>
      <c r="B58" s="2" t="inlineStr">
        <is>
          <t>4137391</t>
        </is>
      </c>
      <c r="C58" s="2" t="inlineStr">
        <is>
          <t>레져</t>
        </is>
      </c>
      <c r="D58" s="2" t="inlineStr">
        <is>
          <t>액티비티</t>
        </is>
      </c>
      <c r="E58" s="2" t="inlineStr">
        <is>
          <t>영월</t>
        </is>
      </c>
      <c r="F58" s="2" t="inlineStr">
        <is>
          <t>동강흥국래프팅</t>
        </is>
      </c>
      <c r="G58" s="2" t="inlineStr">
        <is>
          <t>래프팅+ATV 동강흥국래프팅(~9/30)</t>
        </is>
      </c>
      <c r="H58" s="2" t="inlineStr">
        <is>
          <t>대소공통</t>
        </is>
      </c>
      <c r="I58" s="2" t="inlineStr">
        <is>
          <t>주중+주말</t>
        </is>
      </c>
      <c r="J58" s="2" t="inlineStr"/>
      <c r="K58" s="2" t="n">
        <v>85000</v>
      </c>
      <c r="L58" s="2" t="n">
        <v>55000</v>
      </c>
      <c r="M58" s="2" t="n">
        <v>35</v>
      </c>
      <c r="N58" s="2" t="n">
        <v>35.3</v>
      </c>
      <c r="O58" s="2" t="inlineStr">
        <is>
          <t>1</t>
        </is>
      </c>
      <c r="P58" s="2" t="inlineStr">
        <is>
          <t>구매일</t>
        </is>
      </c>
      <c r="Q58" s="2" t="inlineStr">
        <is>
          <t>0</t>
        </is>
      </c>
      <c r="R58" s="2" t="inlineStr">
        <is>
          <t>날짜지정</t>
        </is>
      </c>
      <c r="S58" s="2" t="inlineStr">
        <is>
          <t>2026-09-30</t>
        </is>
      </c>
      <c r="T58" s="2" t="b">
        <v>0</v>
      </c>
    </row>
    <row r="59">
      <c r="A59" s="2" t="inlineStr">
        <is>
          <t>324512</t>
        </is>
      </c>
      <c r="B59" s="2" t="inlineStr">
        <is>
          <t>4137403</t>
        </is>
      </c>
      <c r="C59" s="2" t="inlineStr">
        <is>
          <t>레져</t>
        </is>
      </c>
      <c r="D59" s="2" t="inlineStr">
        <is>
          <t>액티비티</t>
        </is>
      </c>
      <c r="E59" s="2" t="inlineStr">
        <is>
          <t>영월</t>
        </is>
      </c>
      <c r="F59" s="2" t="inlineStr">
        <is>
          <t>동강흥국래프팅</t>
        </is>
      </c>
      <c r="G59" s="2" t="inlineStr">
        <is>
          <t>래프팅+서바이벌 동강흥국래프팅(~9/30)</t>
        </is>
      </c>
      <c r="H59" s="2" t="inlineStr">
        <is>
          <t>대소공통</t>
        </is>
      </c>
      <c r="I59" s="2" t="inlineStr">
        <is>
          <t>주중+주말</t>
        </is>
      </c>
      <c r="J59" s="2" t="inlineStr"/>
      <c r="K59" s="2" t="n">
        <v>75000</v>
      </c>
      <c r="L59" s="2" t="n">
        <v>55000</v>
      </c>
      <c r="M59" s="2" t="n">
        <v>27</v>
      </c>
      <c r="N59" s="2" t="n">
        <v>26.7</v>
      </c>
      <c r="O59" s="2" t="inlineStr">
        <is>
          <t>1</t>
        </is>
      </c>
      <c r="P59" s="2" t="inlineStr">
        <is>
          <t>구매일</t>
        </is>
      </c>
      <c r="Q59" s="2" t="inlineStr">
        <is>
          <t>0</t>
        </is>
      </c>
      <c r="R59" s="2" t="inlineStr">
        <is>
          <t>날짜지정</t>
        </is>
      </c>
      <c r="S59" s="2" t="inlineStr">
        <is>
          <t>2026-09-30</t>
        </is>
      </c>
      <c r="T59" s="2" t="b">
        <v>0</v>
      </c>
    </row>
    <row r="60">
      <c r="A60" s="2" t="inlineStr">
        <is>
          <t>324512</t>
        </is>
      </c>
      <c r="B60" s="2" t="inlineStr">
        <is>
          <t>4137399</t>
        </is>
      </c>
      <c r="C60" s="2" t="inlineStr">
        <is>
          <t>레져</t>
        </is>
      </c>
      <c r="D60" s="2" t="inlineStr">
        <is>
          <t>액티비티</t>
        </is>
      </c>
      <c r="E60" s="2" t="inlineStr">
        <is>
          <t>영월</t>
        </is>
      </c>
      <c r="F60" s="2" t="inlineStr">
        <is>
          <t>동강흥국래프팅</t>
        </is>
      </c>
      <c r="G60" s="2" t="inlineStr">
        <is>
          <t>래프팅+무제한삼겹살 동강흥국래프팅(~9/30)</t>
        </is>
      </c>
      <c r="H60" s="2" t="inlineStr">
        <is>
          <t>대소공통</t>
        </is>
      </c>
      <c r="I60" s="2" t="inlineStr">
        <is>
          <t>주중+주말</t>
        </is>
      </c>
      <c r="J60" s="2" t="inlineStr"/>
      <c r="K60" s="2" t="n">
        <v>70000</v>
      </c>
      <c r="L60" s="2" t="n">
        <v>55000</v>
      </c>
      <c r="M60" s="2" t="n">
        <v>21</v>
      </c>
      <c r="N60" s="2" t="n">
        <v>21.4</v>
      </c>
      <c r="O60" s="2" t="inlineStr">
        <is>
          <t>1</t>
        </is>
      </c>
      <c r="P60" s="2" t="inlineStr">
        <is>
          <t>구매일</t>
        </is>
      </c>
      <c r="Q60" s="2" t="inlineStr">
        <is>
          <t>0</t>
        </is>
      </c>
      <c r="R60" s="2" t="inlineStr">
        <is>
          <t>날짜지정</t>
        </is>
      </c>
      <c r="S60" s="2" t="inlineStr">
        <is>
          <t>2026-09-30</t>
        </is>
      </c>
      <c r="T60" s="2" t="b">
        <v>0</v>
      </c>
    </row>
    <row r="61">
      <c r="A61" s="2" t="inlineStr">
        <is>
          <t>330442</t>
        </is>
      </c>
      <c r="B61" s="2" t="inlineStr">
        <is>
          <t>4305839</t>
        </is>
      </c>
      <c r="C61" s="2" t="inlineStr">
        <is>
          <t>워터파크</t>
        </is>
      </c>
      <c r="D61" s="2" t="inlineStr">
        <is>
          <t>워터파크</t>
        </is>
      </c>
      <c r="E61" s="2" t="inlineStr">
        <is>
          <t>아산</t>
        </is>
      </c>
      <c r="F61" s="2" t="inlineStr">
        <is>
          <t>아산스파비스</t>
        </is>
      </c>
      <c r="G61" s="2" t="inlineStr">
        <is>
          <t>주중·주말공통이용권 아산스파비스(~26/12/31)</t>
        </is>
      </c>
      <c r="H61" s="2" t="inlineStr">
        <is>
          <t>대소공통</t>
        </is>
      </c>
      <c r="I61" s="2" t="inlineStr">
        <is>
          <t>주중+주말</t>
        </is>
      </c>
      <c r="J61" s="2" t="inlineStr">
        <is>
          <t>종일</t>
        </is>
      </c>
      <c r="K61" s="2" t="n">
        <v>50000</v>
      </c>
      <c r="L61" s="2" t="n">
        <v>20000</v>
      </c>
      <c r="M61" s="2" t="n">
        <v>60</v>
      </c>
      <c r="N61" s="2" t="n">
        <v>60</v>
      </c>
      <c r="O61" s="2" t="inlineStr">
        <is>
          <t>1</t>
        </is>
      </c>
      <c r="P61" s="2" t="inlineStr">
        <is>
          <t>날짜지정</t>
        </is>
      </c>
      <c r="Q61" s="2" t="inlineStr">
        <is>
          <t>2026-09-29</t>
        </is>
      </c>
      <c r="R61" s="2" t="inlineStr">
        <is>
          <t>날짜지정</t>
        </is>
      </c>
      <c r="S61" s="2" t="inlineStr">
        <is>
          <t>2026-12-31</t>
        </is>
      </c>
      <c r="T61" s="2" t="b">
        <v>1</v>
      </c>
    </row>
    <row r="62">
      <c r="A62" s="2" t="inlineStr">
        <is>
          <t>330001</t>
        </is>
      </c>
      <c r="B62" s="2" t="inlineStr">
        <is>
          <t>4293297</t>
        </is>
      </c>
      <c r="C62" s="2" t="inlineStr">
        <is>
          <t>테마파크</t>
        </is>
      </c>
      <c r="D62" s="2" t="inlineStr">
        <is>
          <t>테마파크</t>
        </is>
      </c>
      <c r="E62" s="2" t="inlineStr">
        <is>
          <t>부천</t>
        </is>
      </c>
      <c r="F62" s="2" t="inlineStr">
        <is>
          <t>볼베어파크 실내 키즈카페</t>
        </is>
      </c>
      <c r="G62" s="2" t="inlineStr">
        <is>
          <t>평일 주말 통합권 대인권 부천 볼베어파크(~12/31)</t>
        </is>
      </c>
      <c r="H62" s="2" t="inlineStr">
        <is>
          <t>대인</t>
        </is>
      </c>
      <c r="I62" s="2" t="inlineStr">
        <is>
          <t>주중+주말</t>
        </is>
      </c>
      <c r="J62" s="2" t="inlineStr">
        <is>
          <t>종일</t>
        </is>
      </c>
      <c r="K62" s="2" t="n">
        <v>9000</v>
      </c>
      <c r="L62" s="2" t="n">
        <v>7650</v>
      </c>
      <c r="M62" s="2" t="n">
        <v>15</v>
      </c>
      <c r="N62" s="2" t="n">
        <v>15</v>
      </c>
      <c r="O62" s="2" t="inlineStr">
        <is>
          <t>1</t>
        </is>
      </c>
      <c r="P62" s="2" t="inlineStr">
        <is>
          <t>구매일</t>
        </is>
      </c>
      <c r="Q62" s="2" t="inlineStr">
        <is>
          <t>0</t>
        </is>
      </c>
      <c r="R62" s="2" t="inlineStr">
        <is>
          <t>날짜지정</t>
        </is>
      </c>
      <c r="S62" s="2" t="inlineStr">
        <is>
          <t>2026-12-31</t>
        </is>
      </c>
      <c r="T62" s="2" t="b">
        <v>1</v>
      </c>
    </row>
    <row r="63">
      <c r="A63" s="2" t="inlineStr">
        <is>
          <t>330001</t>
        </is>
      </c>
      <c r="B63" s="2" t="inlineStr">
        <is>
          <t>4293295</t>
        </is>
      </c>
      <c r="C63" s="2" t="inlineStr">
        <is>
          <t>테마파크</t>
        </is>
      </c>
      <c r="D63" s="2" t="inlineStr">
        <is>
          <t>테마파크</t>
        </is>
      </c>
      <c r="E63" s="2" t="inlineStr">
        <is>
          <t>부천</t>
        </is>
      </c>
      <c r="F63" s="2" t="inlineStr">
        <is>
          <t>볼베어파크 실내 키즈카페</t>
        </is>
      </c>
      <c r="G63" s="2" t="inlineStr">
        <is>
          <t>평일 주말 통합권 영유아권 부천 볼베어파크(~12/31)</t>
        </is>
      </c>
      <c r="H63" s="2" t="inlineStr">
        <is>
          <t>소인</t>
        </is>
      </c>
      <c r="I63" s="2" t="inlineStr">
        <is>
          <t>주중+주말</t>
        </is>
      </c>
      <c r="J63" s="2" t="inlineStr">
        <is>
          <t>종일</t>
        </is>
      </c>
      <c r="K63" s="2" t="n">
        <v>12000</v>
      </c>
      <c r="L63" s="2" t="n">
        <v>10200</v>
      </c>
      <c r="M63" s="2" t="n">
        <v>15</v>
      </c>
      <c r="N63" s="2" t="n">
        <v>15</v>
      </c>
      <c r="O63" s="2" t="inlineStr">
        <is>
          <t>1</t>
        </is>
      </c>
      <c r="P63" s="2" t="inlineStr">
        <is>
          <t>구매일</t>
        </is>
      </c>
      <c r="Q63" s="2" t="inlineStr">
        <is>
          <t>0</t>
        </is>
      </c>
      <c r="R63" s="2" t="inlineStr">
        <is>
          <t>날짜지정</t>
        </is>
      </c>
      <c r="S63" s="2" t="inlineStr">
        <is>
          <t>2026-12-31</t>
        </is>
      </c>
      <c r="T63" s="2" t="b">
        <v>0</v>
      </c>
    </row>
    <row r="64">
      <c r="A64" s="2" t="inlineStr">
        <is>
          <t>330001</t>
        </is>
      </c>
      <c r="B64" s="2" t="inlineStr">
        <is>
          <t>4293296</t>
        </is>
      </c>
      <c r="C64" s="2" t="inlineStr">
        <is>
          <t>테마파크</t>
        </is>
      </c>
      <c r="D64" s="2" t="inlineStr">
        <is>
          <t>테마파크</t>
        </is>
      </c>
      <c r="E64" s="2" t="inlineStr">
        <is>
          <t>부천</t>
        </is>
      </c>
      <c r="F64" s="2" t="inlineStr">
        <is>
          <t>볼베어파크 실내 키즈카페</t>
        </is>
      </c>
      <c r="G64" s="2" t="inlineStr">
        <is>
          <t>평일 주말 통합권 소인권 부천 볼베어파크(~12/31)</t>
        </is>
      </c>
      <c r="H64" s="2" t="inlineStr">
        <is>
          <t>소인</t>
        </is>
      </c>
      <c r="I64" s="2" t="inlineStr">
        <is>
          <t>주중+주말</t>
        </is>
      </c>
      <c r="J64" s="2" t="inlineStr">
        <is>
          <t>종일</t>
        </is>
      </c>
      <c r="K64" s="2" t="n">
        <v>28000</v>
      </c>
      <c r="L64" s="2" t="n">
        <v>23800</v>
      </c>
      <c r="M64" s="2" t="n">
        <v>15</v>
      </c>
      <c r="N64" s="2" t="n">
        <v>15</v>
      </c>
      <c r="O64" s="2" t="inlineStr">
        <is>
          <t>1</t>
        </is>
      </c>
      <c r="P64" s="2" t="inlineStr">
        <is>
          <t>구매일</t>
        </is>
      </c>
      <c r="Q64" s="2" t="inlineStr">
        <is>
          <t>0</t>
        </is>
      </c>
      <c r="R64" s="2" t="inlineStr">
        <is>
          <t>날짜지정</t>
        </is>
      </c>
      <c r="S64" s="2" t="inlineStr">
        <is>
          <t>2026-12-31</t>
        </is>
      </c>
      <c r="T64" s="2" t="b">
        <v>0</v>
      </c>
    </row>
    <row r="65">
      <c r="A65" s="2" t="inlineStr">
        <is>
          <t>327536</t>
        </is>
      </c>
      <c r="B65" s="2" t="inlineStr">
        <is>
          <t>4224461</t>
        </is>
      </c>
      <c r="C65" s="2" t="inlineStr">
        <is>
          <t>테마파크</t>
        </is>
      </c>
      <c r="D65" s="2" t="inlineStr">
        <is>
          <t>테마파크</t>
        </is>
      </c>
      <c r="E65" s="2" t="inlineStr">
        <is>
          <t>부산</t>
        </is>
      </c>
      <c r="F65" s="2" t="inlineStr">
        <is>
          <t>세라젬 웰파크 부산기장점</t>
        </is>
      </c>
      <c r="G65" s="2" t="inlineStr">
        <is>
          <t>2시간 이용권 대인 세라젬 웰파크 부산기장점(~12/31)</t>
        </is>
      </c>
      <c r="H65" s="2" t="inlineStr">
        <is>
          <t>대인</t>
        </is>
      </c>
      <c r="I65" s="2" t="inlineStr">
        <is>
          <t>주중+주말</t>
        </is>
      </c>
      <c r="J65" s="2" t="inlineStr">
        <is>
          <t>종일</t>
        </is>
      </c>
      <c r="K65" s="2" t="n">
        <v>5000</v>
      </c>
      <c r="L65" s="2" t="n">
        <v>4250</v>
      </c>
      <c r="M65" s="2" t="n">
        <v>15</v>
      </c>
      <c r="N65" s="2" t="n">
        <v>15</v>
      </c>
      <c r="O65" s="2" t="inlineStr">
        <is>
          <t>1</t>
        </is>
      </c>
      <c r="P65" s="2" t="inlineStr">
        <is>
          <t>구매일</t>
        </is>
      </c>
      <c r="Q65" s="2" t="inlineStr">
        <is>
          <t>0</t>
        </is>
      </c>
      <c r="R65" s="2" t="inlineStr">
        <is>
          <t>날짜지정</t>
        </is>
      </c>
      <c r="S65" s="2" t="inlineStr">
        <is>
          <t>2026-12-31</t>
        </is>
      </c>
      <c r="T65" s="2" t="b">
        <v>1</v>
      </c>
    </row>
    <row r="66">
      <c r="A66" s="2" t="inlineStr">
        <is>
          <t>327536</t>
        </is>
      </c>
      <c r="B66" s="2" t="inlineStr">
        <is>
          <t>4224462</t>
        </is>
      </c>
      <c r="C66" s="2" t="inlineStr">
        <is>
          <t>테마파크</t>
        </is>
      </c>
      <c r="D66" s="2" t="inlineStr">
        <is>
          <t>테마파크</t>
        </is>
      </c>
      <c r="E66" s="2" t="inlineStr">
        <is>
          <t>부산</t>
        </is>
      </c>
      <c r="F66" s="2" t="inlineStr">
        <is>
          <t>세라젬 웰파크 부산기장점</t>
        </is>
      </c>
      <c r="G66" s="2" t="inlineStr">
        <is>
          <t>2시간 이용권 소인 세라젬 웰파크 부산기장점(~12/31)</t>
        </is>
      </c>
      <c r="H66" s="2" t="inlineStr">
        <is>
          <t>소인</t>
        </is>
      </c>
      <c r="I66" s="2" t="inlineStr">
        <is>
          <t>주중+주말</t>
        </is>
      </c>
      <c r="J66" s="2" t="inlineStr">
        <is>
          <t>종일</t>
        </is>
      </c>
      <c r="K66" s="2" t="n">
        <v>18000</v>
      </c>
      <c r="L66" s="2" t="n">
        <v>15300</v>
      </c>
      <c r="M66" s="2" t="n">
        <v>15</v>
      </c>
      <c r="N66" s="2" t="n">
        <v>15</v>
      </c>
      <c r="O66" s="2" t="inlineStr">
        <is>
          <t>1</t>
        </is>
      </c>
      <c r="P66" s="2" t="inlineStr">
        <is>
          <t>구매일</t>
        </is>
      </c>
      <c r="Q66" s="2" t="inlineStr">
        <is>
          <t>0</t>
        </is>
      </c>
      <c r="R66" s="2" t="inlineStr">
        <is>
          <t>날짜지정</t>
        </is>
      </c>
      <c r="S66" s="2" t="inlineStr">
        <is>
          <t>2026-12-31</t>
        </is>
      </c>
      <c r="T66" s="2" t="b">
        <v>0</v>
      </c>
    </row>
    <row r="67">
      <c r="A67" s="2" t="inlineStr">
        <is>
          <t>327536</t>
        </is>
      </c>
      <c r="B67" s="2" t="inlineStr">
        <is>
          <t>4224463</t>
        </is>
      </c>
      <c r="C67" s="2" t="inlineStr">
        <is>
          <t>테마파크</t>
        </is>
      </c>
      <c r="D67" s="2" t="inlineStr">
        <is>
          <t>테마파크</t>
        </is>
      </c>
      <c r="E67" s="2" t="inlineStr">
        <is>
          <t>부산</t>
        </is>
      </c>
      <c r="F67" s="2" t="inlineStr">
        <is>
          <t>세라젬 웰파크 부산기장점</t>
        </is>
      </c>
      <c r="G67" s="2" t="inlineStr">
        <is>
          <t>2시간 이용권 영유아 세라젬 웰파크 부산기장점(~12/31)</t>
        </is>
      </c>
      <c r="H67" s="2" t="inlineStr">
        <is>
          <t>소인</t>
        </is>
      </c>
      <c r="I67" s="2" t="inlineStr">
        <is>
          <t>주중+주말</t>
        </is>
      </c>
      <c r="J67" s="2" t="inlineStr">
        <is>
          <t>종일</t>
        </is>
      </c>
      <c r="K67" s="2" t="n">
        <v>15000</v>
      </c>
      <c r="L67" s="2" t="n">
        <v>12750</v>
      </c>
      <c r="M67" s="2" t="n">
        <v>15</v>
      </c>
      <c r="N67" s="2" t="n">
        <v>15</v>
      </c>
      <c r="O67" s="2" t="inlineStr">
        <is>
          <t>1</t>
        </is>
      </c>
      <c r="P67" s="2" t="inlineStr">
        <is>
          <t>구매일</t>
        </is>
      </c>
      <c r="Q67" s="2" t="inlineStr">
        <is>
          <t>0</t>
        </is>
      </c>
      <c r="R67" s="2" t="inlineStr">
        <is>
          <t>날짜지정</t>
        </is>
      </c>
      <c r="S67" s="2" t="inlineStr">
        <is>
          <t>2026-12-31</t>
        </is>
      </c>
      <c r="T67" s="2" t="b">
        <v>0</v>
      </c>
    </row>
    <row r="68">
      <c r="A68" s="2" t="inlineStr">
        <is>
          <t>329938</t>
        </is>
      </c>
      <c r="B68" s="2" t="inlineStr">
        <is>
          <t>4292815</t>
        </is>
      </c>
      <c r="C68" s="2" t="inlineStr">
        <is>
          <t>테마파크</t>
        </is>
      </c>
      <c r="D68" s="2" t="inlineStr">
        <is>
          <t>테마파크</t>
        </is>
      </c>
      <c r="E68" s="2" t="inlineStr">
        <is>
          <t>경기 하남</t>
        </is>
      </c>
      <c r="F68" s="2" t="inlineStr">
        <is>
          <t>세라젬 웰파크 위례점</t>
        </is>
      </c>
      <c r="G68" s="2" t="inlineStr">
        <is>
          <t>통합권 3시간 대인 세라젬 웰파크 위례점(~12/31)</t>
        </is>
      </c>
      <c r="H68" s="2" t="inlineStr">
        <is>
          <t>대인</t>
        </is>
      </c>
      <c r="I68" s="2" t="inlineStr">
        <is>
          <t>주중+주말</t>
        </is>
      </c>
      <c r="J68" s="2" t="inlineStr">
        <is>
          <t>종일</t>
        </is>
      </c>
      <c r="K68" s="2" t="n">
        <v>7000</v>
      </c>
      <c r="L68" s="2" t="n">
        <v>5950</v>
      </c>
      <c r="M68" s="2" t="n">
        <v>15</v>
      </c>
      <c r="N68" s="2" t="n">
        <v>15</v>
      </c>
      <c r="O68" s="2" t="inlineStr">
        <is>
          <t>1</t>
        </is>
      </c>
      <c r="P68" s="2" t="inlineStr">
        <is>
          <t>구매일</t>
        </is>
      </c>
      <c r="Q68" s="2" t="inlineStr">
        <is>
          <t>0</t>
        </is>
      </c>
      <c r="R68" s="2" t="inlineStr">
        <is>
          <t>날짜지정</t>
        </is>
      </c>
      <c r="S68" s="2" t="inlineStr">
        <is>
          <t>2026-12-31</t>
        </is>
      </c>
      <c r="T68" s="2" t="b">
        <v>1</v>
      </c>
    </row>
    <row r="69">
      <c r="A69" s="2" t="inlineStr">
        <is>
          <t>329938</t>
        </is>
      </c>
      <c r="B69" s="2" t="inlineStr">
        <is>
          <t>4292816</t>
        </is>
      </c>
      <c r="C69" s="2" t="inlineStr">
        <is>
          <t>테마파크</t>
        </is>
      </c>
      <c r="D69" s="2" t="inlineStr">
        <is>
          <t>테마파크</t>
        </is>
      </c>
      <c r="E69" s="2" t="inlineStr">
        <is>
          <t>경기 하남</t>
        </is>
      </c>
      <c r="F69" s="2" t="inlineStr">
        <is>
          <t>세라젬 웰파크 위례점</t>
        </is>
      </c>
      <c r="G69" s="2" t="inlineStr">
        <is>
          <t>통합권 3시간 소인 세라젬 웰파크 위례점(~12/31)</t>
        </is>
      </c>
      <c r="H69" s="2" t="inlineStr">
        <is>
          <t>소인</t>
        </is>
      </c>
      <c r="I69" s="2" t="inlineStr">
        <is>
          <t>주중+주말</t>
        </is>
      </c>
      <c r="J69" s="2" t="inlineStr">
        <is>
          <t>종일</t>
        </is>
      </c>
      <c r="K69" s="2" t="n">
        <v>24000</v>
      </c>
      <c r="L69" s="2" t="n">
        <v>20400</v>
      </c>
      <c r="M69" s="2" t="n">
        <v>15</v>
      </c>
      <c r="N69" s="2" t="n">
        <v>15</v>
      </c>
      <c r="O69" s="2" t="inlineStr">
        <is>
          <t>1</t>
        </is>
      </c>
      <c r="P69" s="2" t="inlineStr">
        <is>
          <t>구매일</t>
        </is>
      </c>
      <c r="Q69" s="2" t="inlineStr">
        <is>
          <t>0</t>
        </is>
      </c>
      <c r="R69" s="2" t="inlineStr">
        <is>
          <t>날짜지정</t>
        </is>
      </c>
      <c r="S69" s="2" t="inlineStr">
        <is>
          <t>2026-12-31</t>
        </is>
      </c>
      <c r="T69" s="2" t="b">
        <v>0</v>
      </c>
    </row>
    <row r="70">
      <c r="A70" s="2" t="inlineStr">
        <is>
          <t>329938</t>
        </is>
      </c>
      <c r="B70" s="2" t="inlineStr">
        <is>
          <t>4292817</t>
        </is>
      </c>
      <c r="C70" s="2" t="inlineStr">
        <is>
          <t>테마파크</t>
        </is>
      </c>
      <c r="D70" s="2" t="inlineStr">
        <is>
          <t>테마파크</t>
        </is>
      </c>
      <c r="E70" s="2" t="inlineStr">
        <is>
          <t>경기 하남</t>
        </is>
      </c>
      <c r="F70" s="2" t="inlineStr">
        <is>
          <t>세라젬 웰파크 위례점</t>
        </is>
      </c>
      <c r="G70" s="2" t="inlineStr">
        <is>
          <t>통합권 3시간 영유아 세라젬 웰파크 위례점(~12/31)</t>
        </is>
      </c>
      <c r="H70" s="2" t="inlineStr">
        <is>
          <t>소인</t>
        </is>
      </c>
      <c r="I70" s="2" t="inlineStr">
        <is>
          <t>주중+주말</t>
        </is>
      </c>
      <c r="J70" s="2" t="inlineStr">
        <is>
          <t>종일</t>
        </is>
      </c>
      <c r="K70" s="2" t="n">
        <v>12000</v>
      </c>
      <c r="L70" s="2" t="n">
        <v>10200</v>
      </c>
      <c r="M70" s="2" t="n">
        <v>15</v>
      </c>
      <c r="N70" s="2" t="n">
        <v>15</v>
      </c>
      <c r="O70" s="2" t="inlineStr">
        <is>
          <t>1</t>
        </is>
      </c>
      <c r="P70" s="2" t="inlineStr">
        <is>
          <t>구매일</t>
        </is>
      </c>
      <c r="Q70" s="2" t="inlineStr">
        <is>
          <t>0</t>
        </is>
      </c>
      <c r="R70" s="2" t="inlineStr">
        <is>
          <t>날짜지정</t>
        </is>
      </c>
      <c r="S70" s="2" t="inlineStr">
        <is>
          <t>2026-12-31</t>
        </is>
      </c>
      <c r="T70" s="2" t="b">
        <v>0</v>
      </c>
    </row>
    <row r="71">
      <c r="A71" s="2" t="inlineStr">
        <is>
          <t>313585</t>
        </is>
      </c>
      <c r="B71" s="2" t="inlineStr">
        <is>
          <t>3857304</t>
        </is>
      </c>
      <c r="C71" s="2" t="inlineStr">
        <is>
          <t>레져</t>
        </is>
      </c>
      <c r="D71" s="2" t="inlineStr">
        <is>
          <t>액티비티</t>
        </is>
      </c>
      <c r="E71" s="2" t="inlineStr">
        <is>
          <t>강화</t>
        </is>
      </c>
      <c r="F71" s="2" t="inlineStr">
        <is>
          <t>레포츠파크</t>
        </is>
      </c>
      <c r="G71" s="2" t="inlineStr">
        <is>
          <t>강화레포츠파크 서바이벌 + 3,4,5번 짚라인+고카트 트렉3바퀴</t>
        </is>
      </c>
      <c r="H71" s="2" t="inlineStr">
        <is>
          <t>대소공통</t>
        </is>
      </c>
      <c r="I71" s="2" t="inlineStr">
        <is>
          <t>주중+주말</t>
        </is>
      </c>
      <c r="J71" s="2" t="inlineStr">
        <is>
          <t>종일</t>
        </is>
      </c>
      <c r="K71" s="2" t="n">
        <v>0</v>
      </c>
      <c r="L71" s="2" t="n">
        <v>43000</v>
      </c>
      <c r="M71" s="2" t="n">
        <v>0</v>
      </c>
      <c r="N71" s="2" t="n"/>
      <c r="O71" s="2" t="inlineStr">
        <is>
          <t>1</t>
        </is>
      </c>
      <c r="P71" s="2" t="inlineStr">
        <is>
          <t>구매일</t>
        </is>
      </c>
      <c r="Q71" s="2" t="inlineStr">
        <is>
          <t>0</t>
        </is>
      </c>
      <c r="R71" s="2" t="inlineStr">
        <is>
          <t>구매일</t>
        </is>
      </c>
      <c r="S71" s="2" t="inlineStr">
        <is>
          <t>30</t>
        </is>
      </c>
      <c r="T71" s="2" t="b">
        <v>1</v>
      </c>
    </row>
    <row r="72">
      <c r="A72" s="2" t="inlineStr">
        <is>
          <t>313585</t>
        </is>
      </c>
      <c r="B72" s="2" t="inlineStr">
        <is>
          <t>3857305</t>
        </is>
      </c>
      <c r="C72" s="2" t="inlineStr">
        <is>
          <t>레져</t>
        </is>
      </c>
      <c r="D72" s="2" t="inlineStr">
        <is>
          <t>액티비티</t>
        </is>
      </c>
      <c r="E72" s="2" t="inlineStr">
        <is>
          <t>강화</t>
        </is>
      </c>
      <c r="F72" s="2" t="inlineStr">
        <is>
          <t>레포츠파크</t>
        </is>
      </c>
      <c r="G72" s="2" t="inlineStr">
        <is>
          <t>강화레포츠파크 서바이벌+5번레일 짚라인 or 고카트 트렉3바퀴</t>
        </is>
      </c>
      <c r="H72" s="2" t="inlineStr">
        <is>
          <t>대소공통</t>
        </is>
      </c>
      <c r="I72" s="2" t="inlineStr">
        <is>
          <t>주중+주말</t>
        </is>
      </c>
      <c r="J72" s="2" t="inlineStr">
        <is>
          <t>종일</t>
        </is>
      </c>
      <c r="K72" s="2" t="n">
        <v>0</v>
      </c>
      <c r="L72" s="2" t="n">
        <v>30000</v>
      </c>
      <c r="M72" s="2" t="n">
        <v>0</v>
      </c>
      <c r="N72" s="2" t="n"/>
      <c r="O72" s="2" t="inlineStr">
        <is>
          <t>1</t>
        </is>
      </c>
      <c r="P72" s="2" t="inlineStr">
        <is>
          <t>구매일</t>
        </is>
      </c>
      <c r="Q72" s="2" t="inlineStr">
        <is>
          <t>0</t>
        </is>
      </c>
      <c r="R72" s="2" t="inlineStr">
        <is>
          <t>구매일</t>
        </is>
      </c>
      <c r="S72" s="2" t="inlineStr">
        <is>
          <t>30</t>
        </is>
      </c>
      <c r="T72" s="2" t="b">
        <v>0</v>
      </c>
    </row>
    <row r="73">
      <c r="A73" s="2" t="inlineStr">
        <is>
          <t>325961</t>
        </is>
      </c>
      <c r="B73" s="2" t="inlineStr">
        <is>
          <t>4178511</t>
        </is>
      </c>
      <c r="C73" s="2" t="inlineStr">
        <is>
          <t>워터파크</t>
        </is>
      </c>
      <c r="D73" s="2" t="inlineStr">
        <is>
          <t>워터파크</t>
        </is>
      </c>
      <c r="E73" s="2" t="inlineStr">
        <is>
          <t>정선</t>
        </is>
      </c>
      <c r="F73" s="2" t="inlineStr">
        <is>
          <t>하이원 워터월드</t>
        </is>
      </c>
      <c r="G73" s="2" t="inlineStr">
        <is>
          <t>준성수기 주중 대인권 하이원워터월드(8/31~10/18)</t>
        </is>
      </c>
      <c r="H73" s="2" t="inlineStr">
        <is>
          <t>대인</t>
        </is>
      </c>
      <c r="I73" s="2" t="inlineStr">
        <is>
          <t>주중</t>
        </is>
      </c>
      <c r="J73" s="2" t="inlineStr">
        <is>
          <t>종일</t>
        </is>
      </c>
      <c r="K73" s="2" t="n">
        <v>64000</v>
      </c>
      <c r="L73" s="2" t="n">
        <v>28000</v>
      </c>
      <c r="M73" s="2" t="n">
        <v>56</v>
      </c>
      <c r="N73" s="2" t="n">
        <v>56.2</v>
      </c>
      <c r="O73" s="2" t="inlineStr">
        <is>
          <t>1</t>
        </is>
      </c>
      <c r="P73" s="2" t="inlineStr">
        <is>
          <t>날짜지정</t>
        </is>
      </c>
      <c r="Q73" s="2" t="inlineStr">
        <is>
          <t>2026-08-31</t>
        </is>
      </c>
      <c r="R73" s="2" t="inlineStr">
        <is>
          <t>날짜지정</t>
        </is>
      </c>
      <c r="S73" s="2" t="inlineStr">
        <is>
          <t>2026-10-18</t>
        </is>
      </c>
      <c r="T73" s="2" t="b">
        <v>1</v>
      </c>
    </row>
    <row r="74">
      <c r="A74" s="2" t="inlineStr">
        <is>
          <t>325961</t>
        </is>
      </c>
      <c r="B74" s="2" t="inlineStr">
        <is>
          <t>4178512</t>
        </is>
      </c>
      <c r="C74" s="2" t="inlineStr">
        <is>
          <t>워터파크</t>
        </is>
      </c>
      <c r="D74" s="2" t="inlineStr">
        <is>
          <t>워터파크</t>
        </is>
      </c>
      <c r="E74" s="2" t="inlineStr">
        <is>
          <t>정선</t>
        </is>
      </c>
      <c r="F74" s="2" t="inlineStr">
        <is>
          <t>하이원 워터월드</t>
        </is>
      </c>
      <c r="G74" s="2" t="inlineStr">
        <is>
          <t>준성수기 주중 소인권 하이원워터월드(8/31~10/18)</t>
        </is>
      </c>
      <c r="H74" s="2" t="inlineStr">
        <is>
          <t>소인</t>
        </is>
      </c>
      <c r="I74" s="2" t="inlineStr">
        <is>
          <t>주중</t>
        </is>
      </c>
      <c r="J74" s="2" t="inlineStr">
        <is>
          <t>종일</t>
        </is>
      </c>
      <c r="K74" s="2" t="n">
        <v>53000</v>
      </c>
      <c r="L74" s="2" t="n">
        <v>26000</v>
      </c>
      <c r="M74" s="2" t="n">
        <v>51</v>
      </c>
      <c r="N74" s="2" t="n">
        <v>50.9</v>
      </c>
      <c r="O74" s="2" t="inlineStr">
        <is>
          <t>1</t>
        </is>
      </c>
      <c r="P74" s="2" t="inlineStr">
        <is>
          <t>날짜지정</t>
        </is>
      </c>
      <c r="Q74" s="2" t="inlineStr">
        <is>
          <t>2026-08-31</t>
        </is>
      </c>
      <c r="R74" s="2" t="inlineStr">
        <is>
          <t>날짜지정</t>
        </is>
      </c>
      <c r="S74" s="2" t="inlineStr">
        <is>
          <t>2026-10-18</t>
        </is>
      </c>
      <c r="T74" s="2" t="b">
        <v>0</v>
      </c>
    </row>
    <row r="75">
      <c r="A75" s="2" t="inlineStr">
        <is>
          <t>325961</t>
        </is>
      </c>
      <c r="B75" s="2" t="inlineStr">
        <is>
          <t>4178513</t>
        </is>
      </c>
      <c r="C75" s="2" t="inlineStr">
        <is>
          <t>워터파크</t>
        </is>
      </c>
      <c r="D75" s="2" t="inlineStr">
        <is>
          <t>워터파크</t>
        </is>
      </c>
      <c r="E75" s="2" t="inlineStr">
        <is>
          <t>정선</t>
        </is>
      </c>
      <c r="F75" s="2" t="inlineStr">
        <is>
          <t>하이원 워터월드</t>
        </is>
      </c>
      <c r="G75" s="2" t="inlineStr">
        <is>
          <t>준성수기 주말 대인권 하이원워터월드(8/31~10/18)</t>
        </is>
      </c>
      <c r="H75" s="2" t="inlineStr">
        <is>
          <t>대인</t>
        </is>
      </c>
      <c r="I75" s="2" t="inlineStr">
        <is>
          <t>주말</t>
        </is>
      </c>
      <c r="J75" s="2" t="inlineStr">
        <is>
          <t>종일</t>
        </is>
      </c>
      <c r="K75" s="2" t="n">
        <v>64000</v>
      </c>
      <c r="L75" s="2" t="n">
        <v>31000</v>
      </c>
      <c r="M75" s="2" t="n">
        <v>52</v>
      </c>
      <c r="N75" s="2" t="n">
        <v>51.6</v>
      </c>
      <c r="O75" s="2" t="inlineStr">
        <is>
          <t>1</t>
        </is>
      </c>
      <c r="P75" s="2" t="inlineStr">
        <is>
          <t>날짜지정</t>
        </is>
      </c>
      <c r="Q75" s="2" t="inlineStr">
        <is>
          <t>2026-08-31</t>
        </is>
      </c>
      <c r="R75" s="2" t="inlineStr">
        <is>
          <t>날짜지정</t>
        </is>
      </c>
      <c r="S75" s="2" t="inlineStr">
        <is>
          <t>2026-10-18</t>
        </is>
      </c>
      <c r="T75" s="2" t="b">
        <v>0</v>
      </c>
    </row>
    <row r="76">
      <c r="A76" s="2" t="inlineStr">
        <is>
          <t>325961</t>
        </is>
      </c>
      <c r="B76" s="2" t="inlineStr">
        <is>
          <t>4178514</t>
        </is>
      </c>
      <c r="C76" s="2" t="inlineStr">
        <is>
          <t>워터파크</t>
        </is>
      </c>
      <c r="D76" s="2" t="inlineStr">
        <is>
          <t>워터파크</t>
        </is>
      </c>
      <c r="E76" s="2" t="inlineStr">
        <is>
          <t>정선</t>
        </is>
      </c>
      <c r="F76" s="2" t="inlineStr">
        <is>
          <t>하이원 워터월드</t>
        </is>
      </c>
      <c r="G76" s="2" t="inlineStr">
        <is>
          <t>준성수기 주말 소인권 하이원워터월드(8/31~10/18)</t>
        </is>
      </c>
      <c r="H76" s="2" t="inlineStr">
        <is>
          <t>소인</t>
        </is>
      </c>
      <c r="I76" s="2" t="inlineStr">
        <is>
          <t>주말</t>
        </is>
      </c>
      <c r="J76" s="2" t="inlineStr">
        <is>
          <t>종일</t>
        </is>
      </c>
      <c r="K76" s="2" t="n">
        <v>53000</v>
      </c>
      <c r="L76" s="2" t="n">
        <v>28500</v>
      </c>
      <c r="M76" s="2" t="n">
        <v>46</v>
      </c>
      <c r="N76" s="2" t="n">
        <v>46.2</v>
      </c>
      <c r="O76" s="2" t="inlineStr">
        <is>
          <t>1</t>
        </is>
      </c>
      <c r="P76" s="2" t="inlineStr">
        <is>
          <t>날짜지정</t>
        </is>
      </c>
      <c r="Q76" s="2" t="inlineStr">
        <is>
          <t>2026-08-31</t>
        </is>
      </c>
      <c r="R76" s="2" t="inlineStr">
        <is>
          <t>날짜지정</t>
        </is>
      </c>
      <c r="S76" s="2" t="inlineStr">
        <is>
          <t>2026-10-18</t>
        </is>
      </c>
      <c r="T76" s="2" t="b">
        <v>0</v>
      </c>
    </row>
    <row r="77">
      <c r="A77" s="2" t="inlineStr">
        <is>
          <t>326087</t>
        </is>
      </c>
      <c r="B77" s="2" t="inlineStr">
        <is>
          <t>4182558</t>
        </is>
      </c>
      <c r="C77" s="2" t="inlineStr">
        <is>
          <t>워터파크</t>
        </is>
      </c>
      <c r="D77" s="2" t="inlineStr">
        <is>
          <t>워터파크</t>
        </is>
      </c>
      <c r="E77" s="2" t="inlineStr">
        <is>
          <t>예산</t>
        </is>
      </c>
      <c r="F77" s="2" t="inlineStr">
        <is>
          <t>스플라스 리솜 워터파크</t>
        </is>
      </c>
      <c r="G77" s="2" t="inlineStr">
        <is>
          <t>소인입장권 스플라스 워터파크(8/24~10/31)</t>
        </is>
      </c>
      <c r="H77" s="2" t="inlineStr">
        <is>
          <t>소인</t>
        </is>
      </c>
      <c r="I77" s="2" t="inlineStr">
        <is>
          <t>주중+주말</t>
        </is>
      </c>
      <c r="J77" s="2" t="inlineStr">
        <is>
          <t>종일</t>
        </is>
      </c>
      <c r="K77" s="2" t="n">
        <v>40000</v>
      </c>
      <c r="L77" s="2" t="n">
        <v>27400</v>
      </c>
      <c r="M77" s="2" t="n">
        <v>32</v>
      </c>
      <c r="N77" s="2" t="n">
        <v>31.5</v>
      </c>
      <c r="O77" s="2" t="inlineStr">
        <is>
          <t>1</t>
        </is>
      </c>
      <c r="P77" s="2" t="inlineStr">
        <is>
          <t>날짜지정</t>
        </is>
      </c>
      <c r="Q77" s="2" t="inlineStr">
        <is>
          <t>2026-08-24</t>
        </is>
      </c>
      <c r="R77" s="2" t="inlineStr">
        <is>
          <t>날짜지정</t>
        </is>
      </c>
      <c r="S77" s="2" t="inlineStr">
        <is>
          <t>2026-10-31</t>
        </is>
      </c>
      <c r="T77" s="2" t="b">
        <v>1</v>
      </c>
    </row>
    <row r="78">
      <c r="A78" s="2" t="inlineStr">
        <is>
          <t>326087</t>
        </is>
      </c>
      <c r="B78" s="2" t="inlineStr">
        <is>
          <t>4182557</t>
        </is>
      </c>
      <c r="C78" s="2" t="inlineStr">
        <is>
          <t>워터파크</t>
        </is>
      </c>
      <c r="D78" s="2" t="inlineStr">
        <is>
          <t>워터파크</t>
        </is>
      </c>
      <c r="E78" s="2" t="inlineStr">
        <is>
          <t>예산</t>
        </is>
      </c>
      <c r="F78" s="2" t="inlineStr">
        <is>
          <t>스플라스 리솜 워터파크</t>
        </is>
      </c>
      <c r="G78" s="2" t="inlineStr">
        <is>
          <t>대인입장권 스플라스 워터파크(8/24~10/31)</t>
        </is>
      </c>
      <c r="H78" s="2" t="inlineStr">
        <is>
          <t>대인</t>
        </is>
      </c>
      <c r="I78" s="2" t="inlineStr">
        <is>
          <t>주중+주말</t>
        </is>
      </c>
      <c r="J78" s="2" t="inlineStr">
        <is>
          <t>종일</t>
        </is>
      </c>
      <c r="K78" s="2" t="n">
        <v>55000</v>
      </c>
      <c r="L78" s="2" t="n">
        <v>37800</v>
      </c>
      <c r="M78" s="2" t="n">
        <v>31</v>
      </c>
      <c r="N78" s="2" t="n">
        <v>31.3</v>
      </c>
      <c r="O78" s="2" t="inlineStr">
        <is>
          <t>1</t>
        </is>
      </c>
      <c r="P78" s="2" t="inlineStr">
        <is>
          <t>날짜지정</t>
        </is>
      </c>
      <c r="Q78" s="2" t="inlineStr">
        <is>
          <t>2026-08-24</t>
        </is>
      </c>
      <c r="R78" s="2" t="inlineStr">
        <is>
          <t>날짜지정</t>
        </is>
      </c>
      <c r="S78" s="2" t="inlineStr">
        <is>
          <t>2026-10-31</t>
        </is>
      </c>
      <c r="T78" s="2" t="b">
        <v>0</v>
      </c>
    </row>
    <row r="79">
      <c r="A79" s="2" t="inlineStr">
        <is>
          <t>326024</t>
        </is>
      </c>
      <c r="B79" s="2" t="inlineStr">
        <is>
          <t>4180630</t>
        </is>
      </c>
      <c r="C79" s="2" t="inlineStr">
        <is>
          <t>워터파크</t>
        </is>
      </c>
      <c r="D79" s="2" t="inlineStr">
        <is>
          <t>워터파크</t>
        </is>
      </c>
      <c r="E79" s="2" t="inlineStr">
        <is>
          <t>제천</t>
        </is>
      </c>
      <c r="F79" s="2" t="inlineStr">
        <is>
          <t>포레스트 리솜 해브나인 웰니스 스파</t>
        </is>
      </c>
      <c r="G79" s="2" t="inlineStr">
        <is>
          <t>소인이용권 포레스트리솜(8/24~10/31)</t>
        </is>
      </c>
      <c r="H79" s="2" t="inlineStr">
        <is>
          <t>소인</t>
        </is>
      </c>
      <c r="I79" s="2" t="inlineStr">
        <is>
          <t>주중+주말</t>
        </is>
      </c>
      <c r="J79" s="2" t="inlineStr">
        <is>
          <t>종일</t>
        </is>
      </c>
      <c r="K79" s="2" t="n">
        <v>45000</v>
      </c>
      <c r="L79" s="2" t="n">
        <v>31000</v>
      </c>
      <c r="M79" s="2" t="n">
        <v>31</v>
      </c>
      <c r="N79" s="2" t="n">
        <v>31.1</v>
      </c>
      <c r="O79" s="2" t="inlineStr">
        <is>
          <t>1</t>
        </is>
      </c>
      <c r="P79" s="2" t="inlineStr">
        <is>
          <t>날짜지정</t>
        </is>
      </c>
      <c r="Q79" s="2" t="inlineStr">
        <is>
          <t>2026-08-24</t>
        </is>
      </c>
      <c r="R79" s="2" t="inlineStr">
        <is>
          <t>날짜지정</t>
        </is>
      </c>
      <c r="S79" s="2" t="inlineStr">
        <is>
          <t>2026-10-31</t>
        </is>
      </c>
      <c r="T79" s="2" t="b">
        <v>1</v>
      </c>
    </row>
    <row r="80">
      <c r="A80" s="2" t="inlineStr">
        <is>
          <t>326024</t>
        </is>
      </c>
      <c r="B80" s="2" t="inlineStr">
        <is>
          <t>4180629</t>
        </is>
      </c>
      <c r="C80" s="2" t="inlineStr">
        <is>
          <t>워터파크</t>
        </is>
      </c>
      <c r="D80" s="2" t="inlineStr">
        <is>
          <t>워터파크</t>
        </is>
      </c>
      <c r="E80" s="2" t="inlineStr">
        <is>
          <t>제천</t>
        </is>
      </c>
      <c r="F80" s="2" t="inlineStr">
        <is>
          <t>포레스트 리솜 해브나인 웰니스 스파</t>
        </is>
      </c>
      <c r="G80" s="2" t="inlineStr">
        <is>
          <t>대인이용권 포레스트리솜(8/24~10/31)</t>
        </is>
      </c>
      <c r="H80" s="2" t="inlineStr">
        <is>
          <t>대인</t>
        </is>
      </c>
      <c r="I80" s="2" t="inlineStr">
        <is>
          <t>주중+주말</t>
        </is>
      </c>
      <c r="J80" s="2" t="inlineStr">
        <is>
          <t>종일</t>
        </is>
      </c>
      <c r="K80" s="2" t="n">
        <v>60000</v>
      </c>
      <c r="L80" s="2" t="n">
        <v>41200</v>
      </c>
      <c r="M80" s="2" t="n">
        <v>31</v>
      </c>
      <c r="N80" s="2" t="n">
        <v>31.3</v>
      </c>
      <c r="O80" s="2" t="inlineStr">
        <is>
          <t>1</t>
        </is>
      </c>
      <c r="P80" s="2" t="inlineStr">
        <is>
          <t>날짜지정</t>
        </is>
      </c>
      <c r="Q80" s="2" t="inlineStr">
        <is>
          <t>2026-08-24</t>
        </is>
      </c>
      <c r="R80" s="2" t="inlineStr">
        <is>
          <t>날짜지정</t>
        </is>
      </c>
      <c r="S80" s="2" t="inlineStr">
        <is>
          <t>2026-10-31</t>
        </is>
      </c>
      <c r="T80" s="2" t="b">
        <v>0</v>
      </c>
    </row>
    <row r="81">
      <c r="A81" s="2" t="inlineStr">
        <is>
          <t>326150</t>
        </is>
      </c>
      <c r="B81" s="2" t="inlineStr">
        <is>
          <t>4183889</t>
        </is>
      </c>
      <c r="C81" s="2" t="inlineStr">
        <is>
          <t>워터파크</t>
        </is>
      </c>
      <c r="D81" s="2" t="inlineStr">
        <is>
          <t>워터파크</t>
        </is>
      </c>
      <c r="E81" s="2" t="inlineStr">
        <is>
          <t>태안</t>
        </is>
      </c>
      <c r="F81" s="2" t="inlineStr">
        <is>
          <t>아일랜드 리솜 오아식스 선셋스파</t>
        </is>
      </c>
      <c r="G81" s="2" t="inlineStr">
        <is>
          <t>대인이용권 아일랜드리솜(8/24~10/31)</t>
        </is>
      </c>
      <c r="H81" s="2" t="inlineStr">
        <is>
          <t>대인</t>
        </is>
      </c>
      <c r="I81" s="2" t="inlineStr">
        <is>
          <t>주중+주말</t>
        </is>
      </c>
      <c r="J81" s="2" t="inlineStr">
        <is>
          <t>종일</t>
        </is>
      </c>
      <c r="K81" s="2" t="n">
        <v>40000</v>
      </c>
      <c r="L81" s="2" t="n">
        <v>34500</v>
      </c>
      <c r="M81" s="2" t="n">
        <v>14</v>
      </c>
      <c r="N81" s="2" t="n">
        <v>13.8</v>
      </c>
      <c r="O81" s="2" t="inlineStr">
        <is>
          <t>1</t>
        </is>
      </c>
      <c r="P81" s="2" t="inlineStr">
        <is>
          <t>날짜지정</t>
        </is>
      </c>
      <c r="Q81" s="2" t="inlineStr">
        <is>
          <t>2026-08-24</t>
        </is>
      </c>
      <c r="R81" s="2" t="inlineStr">
        <is>
          <t>날짜지정</t>
        </is>
      </c>
      <c r="S81" s="2" t="inlineStr">
        <is>
          <t>2026-10-31</t>
        </is>
      </c>
      <c r="T81" s="2" t="b">
        <v>1</v>
      </c>
    </row>
    <row r="82">
      <c r="A82" s="2" t="inlineStr">
        <is>
          <t>293316</t>
        </is>
      </c>
      <c r="B82" s="2" t="inlineStr">
        <is>
          <t>3432000</t>
        </is>
      </c>
      <c r="C82" s="2" t="inlineStr">
        <is>
          <t>자동차 구매</t>
        </is>
      </c>
      <c r="D82" s="2" t="inlineStr">
        <is>
          <t>제네시스</t>
        </is>
      </c>
      <c r="E82" s="2" t="inlineStr">
        <is>
          <t>분당오리대리점</t>
        </is>
      </c>
      <c r="F82" s="2" t="inlineStr">
        <is>
          <t>현대자동차(제네시스) 外 전차종 판매</t>
        </is>
      </c>
      <c r="G82" s="2" t="inlineStr">
        <is>
          <t>GENESIS GV70 (* 합리적 판매가격 상담문의 양현석부장  010-5014-3608)</t>
        </is>
      </c>
      <c r="H82" s="2" t="inlineStr"/>
      <c r="I82" s="2" t="inlineStr"/>
      <c r="J82" s="2" t="inlineStr"/>
      <c r="K82" s="2" t="n">
        <v>0</v>
      </c>
      <c r="L82" s="2" t="n">
        <v>0</v>
      </c>
      <c r="M82" s="2" t="n">
        <v>100</v>
      </c>
      <c r="N82" s="2" t="n"/>
      <c r="O82" s="2" t="inlineStr">
        <is>
          <t>1</t>
        </is>
      </c>
      <c r="P82" s="2" t="inlineStr">
        <is>
          <t>구매일</t>
        </is>
      </c>
      <c r="Q82" s="2" t="inlineStr">
        <is>
          <t>0</t>
        </is>
      </c>
      <c r="R82" s="2" t="inlineStr">
        <is>
          <t>구매일</t>
        </is>
      </c>
      <c r="S82" s="2" t="inlineStr">
        <is>
          <t>0</t>
        </is>
      </c>
      <c r="T82" s="2" t="b">
        <v>1</v>
      </c>
    </row>
    <row r="83">
      <c r="A83" s="2" t="inlineStr">
        <is>
          <t>293316</t>
        </is>
      </c>
      <c r="B83" s="2" t="inlineStr">
        <is>
          <t>3432001</t>
        </is>
      </c>
      <c r="C83" s="2" t="inlineStr">
        <is>
          <t>자동차 구매</t>
        </is>
      </c>
      <c r="D83" s="2" t="inlineStr">
        <is>
          <t>제네시스</t>
        </is>
      </c>
      <c r="E83" s="2" t="inlineStr">
        <is>
          <t>분당오리대리점</t>
        </is>
      </c>
      <c r="F83" s="2" t="inlineStr">
        <is>
          <t>현대자동차(제네시스) 外 전차종 판매</t>
        </is>
      </c>
      <c r="G83" s="2" t="inlineStr">
        <is>
          <t>GENESIS G80 (* 합리적 판매가격 상담문의 양현석부장 010-5014-3608)</t>
        </is>
      </c>
      <c r="H83" s="2" t="inlineStr"/>
      <c r="I83" s="2" t="inlineStr"/>
      <c r="J83" s="2" t="inlineStr"/>
      <c r="K83" s="2" t="n">
        <v>0</v>
      </c>
      <c r="L83" s="2" t="n">
        <v>0</v>
      </c>
      <c r="M83" s="2" t="n">
        <v>100</v>
      </c>
      <c r="N83" s="2" t="n"/>
      <c r="O83" s="2" t="inlineStr">
        <is>
          <t>1</t>
        </is>
      </c>
      <c r="P83" s="2" t="inlineStr">
        <is>
          <t>구매일</t>
        </is>
      </c>
      <c r="Q83" s="2" t="inlineStr">
        <is>
          <t>0</t>
        </is>
      </c>
      <c r="R83" s="2" t="inlineStr">
        <is>
          <t>구매일</t>
        </is>
      </c>
      <c r="S83" s="2" t="inlineStr">
        <is>
          <t>0</t>
        </is>
      </c>
      <c r="T83" s="2" t="b">
        <v>0</v>
      </c>
    </row>
    <row r="84">
      <c r="A84" s="2" t="inlineStr">
        <is>
          <t>293316</t>
        </is>
      </c>
      <c r="B84" s="2" t="inlineStr">
        <is>
          <t>3432002</t>
        </is>
      </c>
      <c r="C84" s="2" t="inlineStr">
        <is>
          <t>자동차 구매</t>
        </is>
      </c>
      <c r="D84" s="2" t="inlineStr">
        <is>
          <t>제네시스</t>
        </is>
      </c>
      <c r="E84" s="2" t="inlineStr">
        <is>
          <t>분당오리대리점</t>
        </is>
      </c>
      <c r="F84" s="2" t="inlineStr">
        <is>
          <t>현대자동차(제네시스) 外 전차종 판매</t>
        </is>
      </c>
      <c r="G84" s="2" t="inlineStr">
        <is>
          <t>GENESIS GV80 (* 합리적 판매가격 상담문의 양현석부장 010-5014-3608)</t>
        </is>
      </c>
      <c r="H84" s="2" t="inlineStr"/>
      <c r="I84" s="2" t="inlineStr"/>
      <c r="J84" s="2" t="inlineStr"/>
      <c r="K84" s="2" t="n">
        <v>0</v>
      </c>
      <c r="L84" s="2" t="n">
        <v>0</v>
      </c>
      <c r="M84" s="2" t="n">
        <v>100</v>
      </c>
      <c r="N84" s="2" t="n"/>
      <c r="O84" s="2" t="inlineStr">
        <is>
          <t>1</t>
        </is>
      </c>
      <c r="P84" s="2" t="inlineStr">
        <is>
          <t>구매일</t>
        </is>
      </c>
      <c r="Q84" s="2" t="inlineStr">
        <is>
          <t>0</t>
        </is>
      </c>
      <c r="R84" s="2" t="inlineStr">
        <is>
          <t>구매일</t>
        </is>
      </c>
      <c r="S84" s="2" t="inlineStr">
        <is>
          <t>0</t>
        </is>
      </c>
      <c r="T84" s="2" t="b">
        <v>0</v>
      </c>
    </row>
    <row r="85">
      <c r="A85" s="2" t="inlineStr">
        <is>
          <t>293316</t>
        </is>
      </c>
      <c r="B85" s="2" t="inlineStr">
        <is>
          <t>3432003</t>
        </is>
      </c>
      <c r="C85" s="2" t="inlineStr">
        <is>
          <t>자동차 구매</t>
        </is>
      </c>
      <c r="D85" s="2" t="inlineStr">
        <is>
          <t>제네시스</t>
        </is>
      </c>
      <c r="E85" s="2" t="inlineStr">
        <is>
          <t>분당오리대리점</t>
        </is>
      </c>
      <c r="F85" s="2" t="inlineStr">
        <is>
          <t>현대자동차(제네시스) 外 전차종 판매</t>
        </is>
      </c>
      <c r="G85" s="2" t="inlineStr">
        <is>
          <t>GENESIS G90 (* 합리적 판매가격 상담문의 양현석부장 010-5014-3608)</t>
        </is>
      </c>
      <c r="H85" s="2" t="inlineStr"/>
      <c r="I85" s="2" t="inlineStr"/>
      <c r="J85" s="2" t="inlineStr"/>
      <c r="K85" s="2" t="n">
        <v>0</v>
      </c>
      <c r="L85" s="2" t="n">
        <v>0</v>
      </c>
      <c r="M85" s="2" t="n">
        <v>100</v>
      </c>
      <c r="N85" s="2" t="n"/>
      <c r="O85" s="2" t="inlineStr">
        <is>
          <t>1</t>
        </is>
      </c>
      <c r="P85" s="2" t="inlineStr">
        <is>
          <t>구매일</t>
        </is>
      </c>
      <c r="Q85" s="2" t="inlineStr">
        <is>
          <t>0</t>
        </is>
      </c>
      <c r="R85" s="2" t="inlineStr">
        <is>
          <t>구매일</t>
        </is>
      </c>
      <c r="S85" s="2" t="inlineStr">
        <is>
          <t>0</t>
        </is>
      </c>
      <c r="T85" s="2" t="b">
        <v>0</v>
      </c>
    </row>
    <row r="86">
      <c r="A86" s="2" t="inlineStr">
        <is>
          <t>311872</t>
        </is>
      </c>
      <c r="B86" s="2" t="inlineStr">
        <is>
          <t>3803857</t>
        </is>
      </c>
      <c r="C86" s="2" t="inlineStr">
        <is>
          <t>테마파크</t>
        </is>
      </c>
      <c r="D86" s="2" t="inlineStr">
        <is>
          <t>테마파크</t>
        </is>
      </c>
      <c r="E86" s="2" t="inlineStr">
        <is>
          <t>부산</t>
        </is>
      </c>
      <c r="F86" s="2" t="inlineStr">
        <is>
          <t>부산영화체험박물관 + 씨네뮤지엄 PKG</t>
        </is>
      </c>
      <c r="G86" s="2" t="inlineStr">
        <is>
          <t>대소공통 통합권 부산영화체험박물관PKG</t>
        </is>
      </c>
      <c r="H86" s="2" t="inlineStr">
        <is>
          <t>대소공통</t>
        </is>
      </c>
      <c r="I86" s="2" t="inlineStr">
        <is>
          <t>주중+주말</t>
        </is>
      </c>
      <c r="J86" s="2" t="inlineStr">
        <is>
          <t>종일</t>
        </is>
      </c>
      <c r="K86" s="2" t="n">
        <v>20000</v>
      </c>
      <c r="L86" s="2" t="n">
        <v>10800</v>
      </c>
      <c r="M86" s="2" t="n">
        <v>46</v>
      </c>
      <c r="N86" s="2" t="n">
        <v>46</v>
      </c>
      <c r="O86" s="2" t="inlineStr">
        <is>
          <t>1</t>
        </is>
      </c>
      <c r="P86" s="2" t="inlineStr">
        <is>
          <t>구매일</t>
        </is>
      </c>
      <c r="Q86" s="2" t="inlineStr">
        <is>
          <t>0</t>
        </is>
      </c>
      <c r="R86" s="2" t="inlineStr">
        <is>
          <t>구매일</t>
        </is>
      </c>
      <c r="S86" s="2" t="inlineStr">
        <is>
          <t>60</t>
        </is>
      </c>
      <c r="T86" s="2" t="b">
        <v>1</v>
      </c>
    </row>
    <row r="87">
      <c r="A87" s="2" t="inlineStr">
        <is>
          <t>326465</t>
        </is>
      </c>
      <c r="B87" s="2" t="inlineStr">
        <is>
          <t>4195837</t>
        </is>
      </c>
      <c r="C87" s="2" t="inlineStr">
        <is>
          <t>워터파크</t>
        </is>
      </c>
      <c r="D87" s="2" t="inlineStr">
        <is>
          <t>워터파크</t>
        </is>
      </c>
      <c r="E87" s="2" t="inlineStr">
        <is>
          <t>아산</t>
        </is>
      </c>
      <c r="F87" s="2" t="inlineStr">
        <is>
          <t>파라다이스 스파 도고</t>
        </is>
      </c>
      <c r="G87" s="2" t="inlineStr">
        <is>
          <t>로우시즌 종일권 스파 도고(9/1~12/17)</t>
        </is>
      </c>
      <c r="H87" s="2" t="inlineStr">
        <is>
          <t>대소공통</t>
        </is>
      </c>
      <c r="I87" s="2" t="inlineStr">
        <is>
          <t>주중+주말</t>
        </is>
      </c>
      <c r="J87" s="2" t="inlineStr">
        <is>
          <t>종일</t>
        </is>
      </c>
      <c r="K87" s="2" t="n">
        <v>55000</v>
      </c>
      <c r="L87" s="2" t="n">
        <v>28900</v>
      </c>
      <c r="M87" s="2" t="n">
        <v>47</v>
      </c>
      <c r="N87" s="2" t="n">
        <v>47.5</v>
      </c>
      <c r="O87" s="2" t="inlineStr">
        <is>
          <t>1</t>
        </is>
      </c>
      <c r="P87" s="2" t="inlineStr">
        <is>
          <t>날짜지정</t>
        </is>
      </c>
      <c r="Q87" s="2" t="inlineStr">
        <is>
          <t>2026-09-01</t>
        </is>
      </c>
      <c r="R87" s="2" t="inlineStr">
        <is>
          <t>날짜지정</t>
        </is>
      </c>
      <c r="S87" s="2" t="inlineStr">
        <is>
          <t>2026-12-17</t>
        </is>
      </c>
      <c r="T87" s="2" t="b">
        <v>1</v>
      </c>
    </row>
    <row r="88">
      <c r="A88" s="2" t="inlineStr">
        <is>
          <t>325709</t>
        </is>
      </c>
      <c r="B88" s="2" t="inlineStr">
        <is>
          <t>4173281</t>
        </is>
      </c>
      <c r="C88" s="2" t="inlineStr">
        <is>
          <t>워터파크</t>
        </is>
      </c>
      <c r="D88" s="2" t="inlineStr">
        <is>
          <t>워터파크</t>
        </is>
      </c>
      <c r="E88" s="2" t="inlineStr">
        <is>
          <t>속초</t>
        </is>
      </c>
      <c r="F88" s="2" t="inlineStr">
        <is>
          <t>설악 워터피아</t>
        </is>
      </c>
      <c r="G88" s="2" t="inlineStr">
        <is>
          <t>2인 주간권 미들시즌 설악워터피아(8/24~10/11)</t>
        </is>
      </c>
      <c r="H88" s="2" t="inlineStr">
        <is>
          <t>대소공통</t>
        </is>
      </c>
      <c r="I88" s="2" t="inlineStr">
        <is>
          <t>주중+주말</t>
        </is>
      </c>
      <c r="J88" s="2" t="inlineStr">
        <is>
          <t>종일</t>
        </is>
      </c>
      <c r="K88" s="2" t="n">
        <v>124000</v>
      </c>
      <c r="L88" s="2" t="n">
        <v>68000</v>
      </c>
      <c r="M88" s="2" t="n">
        <v>45</v>
      </c>
      <c r="N88" s="2" t="n">
        <v>45.2</v>
      </c>
      <c r="O88" s="2" t="inlineStr">
        <is>
          <t>1</t>
        </is>
      </c>
      <c r="P88" s="2" t="inlineStr">
        <is>
          <t>날짜지정</t>
        </is>
      </c>
      <c r="Q88" s="2" t="inlineStr">
        <is>
          <t>2026-08-24</t>
        </is>
      </c>
      <c r="R88" s="2" t="inlineStr">
        <is>
          <t>날짜지정</t>
        </is>
      </c>
      <c r="S88" s="2" t="inlineStr">
        <is>
          <t>2026-10-11</t>
        </is>
      </c>
      <c r="T88" s="2" t="b">
        <v>1</v>
      </c>
    </row>
    <row r="89">
      <c r="A89" s="2" t="inlineStr">
        <is>
          <t>325709</t>
        </is>
      </c>
      <c r="B89" s="2" t="inlineStr">
        <is>
          <t>4173282</t>
        </is>
      </c>
      <c r="C89" s="2" t="inlineStr">
        <is>
          <t>워터파크</t>
        </is>
      </c>
      <c r="D89" s="2" t="inlineStr">
        <is>
          <t>워터파크</t>
        </is>
      </c>
      <c r="E89" s="2" t="inlineStr">
        <is>
          <t>속초</t>
        </is>
      </c>
      <c r="F89" s="2" t="inlineStr">
        <is>
          <t>설악 워터피아</t>
        </is>
      </c>
      <c r="G89" s="2" t="inlineStr">
        <is>
          <t>3인 주간권 미들시즌 설악워터피아(8/24~10/11)</t>
        </is>
      </c>
      <c r="H89" s="2" t="inlineStr">
        <is>
          <t>대소공통</t>
        </is>
      </c>
      <c r="I89" s="2" t="inlineStr">
        <is>
          <t>주중+주말</t>
        </is>
      </c>
      <c r="J89" s="2" t="inlineStr">
        <is>
          <t>종일</t>
        </is>
      </c>
      <c r="K89" s="2" t="n">
        <v>186000</v>
      </c>
      <c r="L89" s="2" t="n">
        <v>96900</v>
      </c>
      <c r="M89" s="2" t="n">
        <v>48</v>
      </c>
      <c r="N89" s="2" t="n">
        <v>47.9</v>
      </c>
      <c r="O89" s="2" t="inlineStr">
        <is>
          <t>1</t>
        </is>
      </c>
      <c r="P89" s="2" t="inlineStr">
        <is>
          <t>날짜지정</t>
        </is>
      </c>
      <c r="Q89" s="2" t="inlineStr">
        <is>
          <t>2026-08-24</t>
        </is>
      </c>
      <c r="R89" s="2" t="inlineStr">
        <is>
          <t>날짜지정</t>
        </is>
      </c>
      <c r="S89" s="2" t="inlineStr">
        <is>
          <t>2026-10-11</t>
        </is>
      </c>
      <c r="T89" s="2" t="b">
        <v>0</v>
      </c>
    </row>
    <row r="90">
      <c r="A90" s="2" t="inlineStr">
        <is>
          <t>325709</t>
        </is>
      </c>
      <c r="B90" s="2" t="inlineStr">
        <is>
          <t>4173283</t>
        </is>
      </c>
      <c r="C90" s="2" t="inlineStr">
        <is>
          <t>워터파크</t>
        </is>
      </c>
      <c r="D90" s="2" t="inlineStr">
        <is>
          <t>워터파크</t>
        </is>
      </c>
      <c r="E90" s="2" t="inlineStr">
        <is>
          <t>속초</t>
        </is>
      </c>
      <c r="F90" s="2" t="inlineStr">
        <is>
          <t>설악 워터피아</t>
        </is>
      </c>
      <c r="G90" s="2" t="inlineStr">
        <is>
          <t>4인 주간권 미들시즌 설악워터피아(8/24~10/11)</t>
        </is>
      </c>
      <c r="H90" s="2" t="inlineStr">
        <is>
          <t>대소공통</t>
        </is>
      </c>
      <c r="I90" s="2" t="inlineStr">
        <is>
          <t>주중+주말</t>
        </is>
      </c>
      <c r="J90" s="2" t="inlineStr">
        <is>
          <t>종일</t>
        </is>
      </c>
      <c r="K90" s="2" t="n">
        <v>248000</v>
      </c>
      <c r="L90" s="2" t="n">
        <v>126000</v>
      </c>
      <c r="M90" s="2" t="n">
        <v>49</v>
      </c>
      <c r="N90" s="2" t="n">
        <v>49.2</v>
      </c>
      <c r="O90" s="2" t="inlineStr">
        <is>
          <t>1</t>
        </is>
      </c>
      <c r="P90" s="2" t="inlineStr">
        <is>
          <t>날짜지정</t>
        </is>
      </c>
      <c r="Q90" s="2" t="inlineStr">
        <is>
          <t>2026-08-24</t>
        </is>
      </c>
      <c r="R90" s="2" t="inlineStr">
        <is>
          <t>날짜지정</t>
        </is>
      </c>
      <c r="S90" s="2" t="inlineStr">
        <is>
          <t>2026-10-11</t>
        </is>
      </c>
      <c r="T90" s="2" t="b">
        <v>0</v>
      </c>
    </row>
    <row r="91">
      <c r="A91" s="2" t="inlineStr">
        <is>
          <t>325709</t>
        </is>
      </c>
      <c r="B91" s="2" t="inlineStr">
        <is>
          <t>4173284</t>
        </is>
      </c>
      <c r="C91" s="2" t="inlineStr">
        <is>
          <t>워터파크</t>
        </is>
      </c>
      <c r="D91" s="2" t="inlineStr">
        <is>
          <t>워터파크</t>
        </is>
      </c>
      <c r="E91" s="2" t="inlineStr">
        <is>
          <t>속초</t>
        </is>
      </c>
      <c r="F91" s="2" t="inlineStr">
        <is>
          <t>설악 워터피아</t>
        </is>
      </c>
      <c r="G91" s="2" t="inlineStr">
        <is>
          <t>2인 나이트스파 미들시즌 설악워터피아(8/24~10/11)</t>
        </is>
      </c>
      <c r="H91" s="2" t="inlineStr">
        <is>
          <t>대소공통</t>
        </is>
      </c>
      <c r="I91" s="2" t="inlineStr">
        <is>
          <t>주중+주말</t>
        </is>
      </c>
      <c r="J91" s="2" t="inlineStr">
        <is>
          <t>종일</t>
        </is>
      </c>
      <c r="K91" s="2" t="n">
        <v>84000</v>
      </c>
      <c r="L91" s="2" t="n">
        <v>46000</v>
      </c>
      <c r="M91" s="2" t="n">
        <v>45</v>
      </c>
      <c r="N91" s="2" t="n">
        <v>45.2</v>
      </c>
      <c r="O91" s="2" t="inlineStr">
        <is>
          <t>1</t>
        </is>
      </c>
      <c r="P91" s="2" t="inlineStr">
        <is>
          <t>날짜지정</t>
        </is>
      </c>
      <c r="Q91" s="2" t="inlineStr">
        <is>
          <t>2026-08-24</t>
        </is>
      </c>
      <c r="R91" s="2" t="inlineStr">
        <is>
          <t>날짜지정</t>
        </is>
      </c>
      <c r="S91" s="2" t="inlineStr">
        <is>
          <t>2026-10-11</t>
        </is>
      </c>
      <c r="T91" s="2" t="b">
        <v>0</v>
      </c>
    </row>
    <row r="92">
      <c r="A92" s="2" t="inlineStr">
        <is>
          <t>325709</t>
        </is>
      </c>
      <c r="B92" s="2" t="inlineStr">
        <is>
          <t>4173285</t>
        </is>
      </c>
      <c r="C92" s="2" t="inlineStr">
        <is>
          <t>워터파크</t>
        </is>
      </c>
      <c r="D92" s="2" t="inlineStr">
        <is>
          <t>워터파크</t>
        </is>
      </c>
      <c r="E92" s="2" t="inlineStr">
        <is>
          <t>속초</t>
        </is>
      </c>
      <c r="F92" s="2" t="inlineStr">
        <is>
          <t>설악 워터피아</t>
        </is>
      </c>
      <c r="G92" s="2" t="inlineStr">
        <is>
          <t>3인 나이트스파 미들시즌 설악워터피아(8/24~10/11)</t>
        </is>
      </c>
      <c r="H92" s="2" t="inlineStr">
        <is>
          <t>대소공통</t>
        </is>
      </c>
      <c r="I92" s="2" t="inlineStr">
        <is>
          <t>주중+주말</t>
        </is>
      </c>
      <c r="J92" s="2" t="inlineStr">
        <is>
          <t>종일</t>
        </is>
      </c>
      <c r="K92" s="2" t="n">
        <v>126000</v>
      </c>
      <c r="L92" s="2" t="n">
        <v>65400</v>
      </c>
      <c r="M92" s="2" t="n">
        <v>48</v>
      </c>
      <c r="N92" s="2" t="n">
        <v>48.1</v>
      </c>
      <c r="O92" s="2" t="inlineStr">
        <is>
          <t>1</t>
        </is>
      </c>
      <c r="P92" s="2" t="inlineStr">
        <is>
          <t>날짜지정</t>
        </is>
      </c>
      <c r="Q92" s="2" t="inlineStr">
        <is>
          <t>2026-08-24</t>
        </is>
      </c>
      <c r="R92" s="2" t="inlineStr">
        <is>
          <t>날짜지정</t>
        </is>
      </c>
      <c r="S92" s="2" t="inlineStr">
        <is>
          <t>2026-10-11</t>
        </is>
      </c>
      <c r="T92" s="2" t="b">
        <v>0</v>
      </c>
    </row>
    <row r="93">
      <c r="A93" s="2" t="inlineStr">
        <is>
          <t>325709</t>
        </is>
      </c>
      <c r="B93" s="2" t="inlineStr">
        <is>
          <t>4173286</t>
        </is>
      </c>
      <c r="C93" s="2" t="inlineStr">
        <is>
          <t>워터파크</t>
        </is>
      </c>
      <c r="D93" s="2" t="inlineStr">
        <is>
          <t>워터파크</t>
        </is>
      </c>
      <c r="E93" s="2" t="inlineStr">
        <is>
          <t>속초</t>
        </is>
      </c>
      <c r="F93" s="2" t="inlineStr">
        <is>
          <t>설악 워터피아</t>
        </is>
      </c>
      <c r="G93" s="2" t="inlineStr">
        <is>
          <t>4인 나이트스파 미들시즌 설악워터피아(8/24~10/11)</t>
        </is>
      </c>
      <c r="H93" s="2" t="inlineStr">
        <is>
          <t>대소공통</t>
        </is>
      </c>
      <c r="I93" s="2" t="inlineStr">
        <is>
          <t>주중+주말</t>
        </is>
      </c>
      <c r="J93" s="2" t="inlineStr">
        <is>
          <t>종일</t>
        </is>
      </c>
      <c r="K93" s="2" t="n">
        <v>168000</v>
      </c>
      <c r="L93" s="2" t="n">
        <v>85000</v>
      </c>
      <c r="M93" s="2" t="n">
        <v>49</v>
      </c>
      <c r="N93" s="2" t="n">
        <v>49.4</v>
      </c>
      <c r="O93" s="2" t="inlineStr">
        <is>
          <t>1</t>
        </is>
      </c>
      <c r="P93" s="2" t="inlineStr">
        <is>
          <t>날짜지정</t>
        </is>
      </c>
      <c r="Q93" s="2" t="inlineStr">
        <is>
          <t>2026-08-24</t>
        </is>
      </c>
      <c r="R93" s="2" t="inlineStr">
        <is>
          <t>날짜지정</t>
        </is>
      </c>
      <c r="S93" s="2" t="inlineStr">
        <is>
          <t>2026-10-11</t>
        </is>
      </c>
      <c r="T93" s="2" t="b">
        <v>0</v>
      </c>
    </row>
    <row r="94">
      <c r="A94" s="2" t="inlineStr">
        <is>
          <t>325709</t>
        </is>
      </c>
      <c r="B94" s="2" t="inlineStr">
        <is>
          <t>4173287</t>
        </is>
      </c>
      <c r="C94" s="2" t="inlineStr">
        <is>
          <t>워터파크</t>
        </is>
      </c>
      <c r="D94" s="2" t="inlineStr">
        <is>
          <t>워터파크</t>
        </is>
      </c>
      <c r="E94" s="2" t="inlineStr">
        <is>
          <t>속초</t>
        </is>
      </c>
      <c r="F94" s="2" t="inlineStr">
        <is>
          <t>설악 워터피아</t>
        </is>
      </c>
      <c r="G94" s="2" t="inlineStr">
        <is>
          <t>2인 종일권 미들시즌 설악워터피아(8/24~10/11)</t>
        </is>
      </c>
      <c r="H94" s="2" t="inlineStr">
        <is>
          <t>대소공통</t>
        </is>
      </c>
      <c r="I94" s="2" t="inlineStr">
        <is>
          <t>주중+주말</t>
        </is>
      </c>
      <c r="J94" s="2" t="inlineStr">
        <is>
          <t>종일</t>
        </is>
      </c>
      <c r="K94" s="2" t="n">
        <v>160000</v>
      </c>
      <c r="L94" s="2" t="n">
        <v>88000</v>
      </c>
      <c r="M94" s="2" t="n">
        <v>45</v>
      </c>
      <c r="N94" s="2" t="n">
        <v>45</v>
      </c>
      <c r="O94" s="2" t="inlineStr">
        <is>
          <t>1</t>
        </is>
      </c>
      <c r="P94" s="2" t="inlineStr">
        <is>
          <t>날짜지정</t>
        </is>
      </c>
      <c r="Q94" s="2" t="inlineStr">
        <is>
          <t>2026-08-24</t>
        </is>
      </c>
      <c r="R94" s="2" t="inlineStr">
        <is>
          <t>날짜지정</t>
        </is>
      </c>
      <c r="S94" s="2" t="inlineStr">
        <is>
          <t>2026-10-11</t>
        </is>
      </c>
      <c r="T94" s="2" t="b">
        <v>0</v>
      </c>
    </row>
    <row r="95">
      <c r="A95" s="2" t="inlineStr">
        <is>
          <t>325709</t>
        </is>
      </c>
      <c r="B95" s="2" t="inlineStr">
        <is>
          <t>4173288</t>
        </is>
      </c>
      <c r="C95" s="2" t="inlineStr">
        <is>
          <t>워터파크</t>
        </is>
      </c>
      <c r="D95" s="2" t="inlineStr">
        <is>
          <t>워터파크</t>
        </is>
      </c>
      <c r="E95" s="2" t="inlineStr">
        <is>
          <t>속초</t>
        </is>
      </c>
      <c r="F95" s="2" t="inlineStr">
        <is>
          <t>설악 워터피아</t>
        </is>
      </c>
      <c r="G95" s="2" t="inlineStr">
        <is>
          <t>3인 종일권 미들시즌 설악워터피아(8/24~10/11)</t>
        </is>
      </c>
      <c r="H95" s="2" t="inlineStr">
        <is>
          <t>대소공통</t>
        </is>
      </c>
      <c r="I95" s="2" t="inlineStr">
        <is>
          <t>주중+주말</t>
        </is>
      </c>
      <c r="J95" s="2" t="inlineStr">
        <is>
          <t>종일</t>
        </is>
      </c>
      <c r="K95" s="2" t="n">
        <v>240000</v>
      </c>
      <c r="L95" s="2" t="n">
        <v>124800</v>
      </c>
      <c r="M95" s="2" t="n">
        <v>48</v>
      </c>
      <c r="N95" s="2" t="n">
        <v>48</v>
      </c>
      <c r="O95" s="2" t="inlineStr">
        <is>
          <t>1</t>
        </is>
      </c>
      <c r="P95" s="2" t="inlineStr">
        <is>
          <t>날짜지정</t>
        </is>
      </c>
      <c r="Q95" s="2" t="inlineStr">
        <is>
          <t>2026-08-24</t>
        </is>
      </c>
      <c r="R95" s="2" t="inlineStr">
        <is>
          <t>날짜지정</t>
        </is>
      </c>
      <c r="S95" s="2" t="inlineStr">
        <is>
          <t>2026-10-11</t>
        </is>
      </c>
      <c r="T95" s="2" t="b">
        <v>0</v>
      </c>
    </row>
    <row r="96">
      <c r="A96" s="2" t="inlineStr">
        <is>
          <t>325709</t>
        </is>
      </c>
      <c r="B96" s="2" t="inlineStr">
        <is>
          <t>4173289</t>
        </is>
      </c>
      <c r="C96" s="2" t="inlineStr">
        <is>
          <t>워터파크</t>
        </is>
      </c>
      <c r="D96" s="2" t="inlineStr">
        <is>
          <t>워터파크</t>
        </is>
      </c>
      <c r="E96" s="2" t="inlineStr">
        <is>
          <t>속초</t>
        </is>
      </c>
      <c r="F96" s="2" t="inlineStr">
        <is>
          <t>설악 워터피아</t>
        </is>
      </c>
      <c r="G96" s="2" t="inlineStr">
        <is>
          <t>4인 종일권 미들시즌 설악워터피아(8/24~10/11)</t>
        </is>
      </c>
      <c r="H96" s="2" t="inlineStr">
        <is>
          <t>대소공통</t>
        </is>
      </c>
      <c r="I96" s="2" t="inlineStr">
        <is>
          <t>주중+주말</t>
        </is>
      </c>
      <c r="J96" s="2" t="inlineStr">
        <is>
          <t>종일</t>
        </is>
      </c>
      <c r="K96" s="2" t="n">
        <v>320000</v>
      </c>
      <c r="L96" s="2" t="n">
        <v>162000</v>
      </c>
      <c r="M96" s="2" t="n">
        <v>49</v>
      </c>
      <c r="N96" s="2" t="n">
        <v>49.4</v>
      </c>
      <c r="O96" s="2" t="inlineStr">
        <is>
          <t>1</t>
        </is>
      </c>
      <c r="P96" s="2" t="inlineStr">
        <is>
          <t>날짜지정</t>
        </is>
      </c>
      <c r="Q96" s="2" t="inlineStr">
        <is>
          <t>2026-08-24</t>
        </is>
      </c>
      <c r="R96" s="2" t="inlineStr">
        <is>
          <t>날짜지정</t>
        </is>
      </c>
      <c r="S96" s="2" t="inlineStr">
        <is>
          <t>2026-10-11</t>
        </is>
      </c>
      <c r="T96" s="2" t="b">
        <v>0</v>
      </c>
    </row>
    <row r="97">
      <c r="A97" s="2" t="inlineStr">
        <is>
          <t>330127</t>
        </is>
      </c>
      <c r="B97" s="2" t="inlineStr">
        <is>
          <t>4294515</t>
        </is>
      </c>
      <c r="C97" s="2" t="inlineStr">
        <is>
          <t>워터파크</t>
        </is>
      </c>
      <c r="D97" s="2" t="inlineStr">
        <is>
          <t>워터파크</t>
        </is>
      </c>
      <c r="E97" s="2" t="inlineStr">
        <is>
          <t>부천</t>
        </is>
      </c>
      <c r="F97" s="2" t="inlineStr">
        <is>
          <t>웅진플레이도시 워터파크</t>
        </is>
      </c>
      <c r="G97" s="2" t="inlineStr">
        <is>
          <t>종일권 로우시즌 웅진플레이도시(~10/31)</t>
        </is>
      </c>
      <c r="H97" s="2" t="inlineStr">
        <is>
          <t>대소공통</t>
        </is>
      </c>
      <c r="I97" s="2" t="inlineStr">
        <is>
          <t>주중+주말</t>
        </is>
      </c>
      <c r="J97" s="2" t="inlineStr">
        <is>
          <t>종일권</t>
        </is>
      </c>
      <c r="K97" s="2" t="n">
        <v>60000</v>
      </c>
      <c r="L97" s="2" t="n">
        <v>27000</v>
      </c>
      <c r="M97" s="2" t="n">
        <v>55</v>
      </c>
      <c r="N97" s="2" t="n">
        <v>55</v>
      </c>
      <c r="O97" s="2" t="inlineStr">
        <is>
          <t>1</t>
        </is>
      </c>
      <c r="P97" s="2" t="inlineStr">
        <is>
          <t>날짜지정</t>
        </is>
      </c>
      <c r="Q97" s="2" t="inlineStr">
        <is>
          <t>2026-09-07</t>
        </is>
      </c>
      <c r="R97" s="2" t="inlineStr">
        <is>
          <t>날짜지정</t>
        </is>
      </c>
      <c r="S97" s="2" t="inlineStr">
        <is>
          <t>2026-10-31</t>
        </is>
      </c>
      <c r="T97" s="2" t="b">
        <v>1</v>
      </c>
    </row>
    <row r="98">
      <c r="A98" s="2" t="inlineStr">
        <is>
          <t>319087</t>
        </is>
      </c>
      <c r="B98" s="2" t="inlineStr">
        <is>
          <t>4015582</t>
        </is>
      </c>
      <c r="C98" s="2" t="inlineStr">
        <is>
          <t>테마파크</t>
        </is>
      </c>
      <c r="D98" s="2" t="inlineStr">
        <is>
          <t>테마파크</t>
        </is>
      </c>
      <c r="E98" s="2" t="inlineStr">
        <is>
          <t>부산</t>
        </is>
      </c>
      <c r="F98" s="2" t="inlineStr">
        <is>
          <t>런닝맨&amp;다이나믹메이즈</t>
        </is>
      </c>
      <c r="G98" s="2" t="inlineStr">
        <is>
          <t>이용권 런닝맨(60분)(~10/31)</t>
        </is>
      </c>
      <c r="H98" s="2" t="inlineStr">
        <is>
          <t>대소공통</t>
        </is>
      </c>
      <c r="I98" s="2" t="inlineStr">
        <is>
          <t>주중+주말</t>
        </is>
      </c>
      <c r="J98" s="2" t="inlineStr"/>
      <c r="K98" s="2" t="n">
        <v>19000</v>
      </c>
      <c r="L98" s="2" t="n">
        <v>14000</v>
      </c>
      <c r="M98" s="2" t="n">
        <v>26</v>
      </c>
      <c r="N98" s="2" t="n">
        <v>26.3</v>
      </c>
      <c r="O98" s="2" t="inlineStr">
        <is>
          <t>1</t>
        </is>
      </c>
      <c r="P98" s="2" t="inlineStr">
        <is>
          <t>날짜지정</t>
        </is>
      </c>
      <c r="Q98" s="2" t="inlineStr">
        <is>
          <t>2025-12-01</t>
        </is>
      </c>
      <c r="R98" s="2" t="inlineStr">
        <is>
          <t>날짜지정</t>
        </is>
      </c>
      <c r="S98" s="2" t="inlineStr">
        <is>
          <t>2026-10-31</t>
        </is>
      </c>
      <c r="T98" s="2" t="b">
        <v>1</v>
      </c>
    </row>
    <row r="99">
      <c r="A99" s="2" t="inlineStr">
        <is>
          <t>319087</t>
        </is>
      </c>
      <c r="B99" s="2" t="inlineStr">
        <is>
          <t>4015583</t>
        </is>
      </c>
      <c r="C99" s="2" t="inlineStr">
        <is>
          <t>테마파크</t>
        </is>
      </c>
      <c r="D99" s="2" t="inlineStr">
        <is>
          <t>테마파크</t>
        </is>
      </c>
      <c r="E99" s="2" t="inlineStr">
        <is>
          <t>부산</t>
        </is>
      </c>
      <c r="F99" s="2" t="inlineStr">
        <is>
          <t>런닝맨&amp;다이나믹메이즈</t>
        </is>
      </c>
      <c r="G99" s="2" t="inlineStr">
        <is>
          <t>이용권 다이나믹메이즈(~10/31)</t>
        </is>
      </c>
      <c r="H99" s="2" t="inlineStr">
        <is>
          <t>대소공통</t>
        </is>
      </c>
      <c r="I99" s="2" t="inlineStr">
        <is>
          <t>주중+주말</t>
        </is>
      </c>
      <c r="J99" s="2" t="inlineStr"/>
      <c r="K99" s="2" t="n">
        <v>16000</v>
      </c>
      <c r="L99" s="2" t="n">
        <v>13000</v>
      </c>
      <c r="M99" s="2" t="n">
        <v>19</v>
      </c>
      <c r="N99" s="2" t="n">
        <v>18.8</v>
      </c>
      <c r="O99" s="2" t="inlineStr">
        <is>
          <t>1</t>
        </is>
      </c>
      <c r="P99" s="2" t="inlineStr">
        <is>
          <t>날짜지정</t>
        </is>
      </c>
      <c r="Q99" s="2" t="inlineStr">
        <is>
          <t>2025-12-01</t>
        </is>
      </c>
      <c r="R99" s="2" t="inlineStr">
        <is>
          <t>날짜지정</t>
        </is>
      </c>
      <c r="S99" s="2" t="inlineStr">
        <is>
          <t>2026-10-31</t>
        </is>
      </c>
      <c r="T99" s="2" t="b">
        <v>0</v>
      </c>
    </row>
    <row r="100">
      <c r="A100" s="2" t="inlineStr">
        <is>
          <t>319087</t>
        </is>
      </c>
      <c r="B100" s="2" t="inlineStr">
        <is>
          <t>4015584</t>
        </is>
      </c>
      <c r="C100" s="2" t="inlineStr">
        <is>
          <t>테마파크</t>
        </is>
      </c>
      <c r="D100" s="2" t="inlineStr">
        <is>
          <t>테마파크</t>
        </is>
      </c>
      <c r="E100" s="2" t="inlineStr">
        <is>
          <t>부산</t>
        </is>
      </c>
      <c r="F100" s="2" t="inlineStr">
        <is>
          <t>런닝맨&amp;다이나믹메이즈</t>
        </is>
      </c>
      <c r="G100" s="2" t="inlineStr">
        <is>
          <t>종합권 런닝맨(60분)+다이나믹메이즈PKG(~10/31)</t>
        </is>
      </c>
      <c r="H100" s="2" t="inlineStr">
        <is>
          <t>대소공통</t>
        </is>
      </c>
      <c r="I100" s="2" t="inlineStr">
        <is>
          <t>주중+주말</t>
        </is>
      </c>
      <c r="J100" s="2" t="inlineStr"/>
      <c r="K100" s="2" t="n">
        <v>29000</v>
      </c>
      <c r="L100" s="2" t="n">
        <v>22000</v>
      </c>
      <c r="M100" s="2" t="n">
        <v>24</v>
      </c>
      <c r="N100" s="2" t="n">
        <v>24.1</v>
      </c>
      <c r="O100" s="2" t="inlineStr">
        <is>
          <t>1</t>
        </is>
      </c>
      <c r="P100" s="2" t="inlineStr">
        <is>
          <t>날짜지정</t>
        </is>
      </c>
      <c r="Q100" s="2" t="inlineStr">
        <is>
          <t>2025-12-01</t>
        </is>
      </c>
      <c r="R100" s="2" t="inlineStr">
        <is>
          <t>날짜지정</t>
        </is>
      </c>
      <c r="S100" s="2" t="inlineStr">
        <is>
          <t>2026-10-31</t>
        </is>
      </c>
      <c r="T100" s="2" t="b">
        <v>0</v>
      </c>
    </row>
    <row r="101">
      <c r="A101" s="2" t="inlineStr">
        <is>
          <t>319087</t>
        </is>
      </c>
      <c r="B101" s="2" t="inlineStr">
        <is>
          <t>4015585</t>
        </is>
      </c>
      <c r="C101" s="2" t="inlineStr">
        <is>
          <t>테마파크</t>
        </is>
      </c>
      <c r="D101" s="2" t="inlineStr">
        <is>
          <t>테마파크</t>
        </is>
      </c>
      <c r="E101" s="2" t="inlineStr">
        <is>
          <t>부산</t>
        </is>
      </c>
      <c r="F101" s="2" t="inlineStr">
        <is>
          <t>런닝맨&amp;다이나믹메이즈</t>
        </is>
      </c>
      <c r="G101" s="2" t="inlineStr">
        <is>
          <t>이용권 런닝맨(90분)(~10/31)</t>
        </is>
      </c>
      <c r="H101" s="2" t="inlineStr">
        <is>
          <t>대소공통</t>
        </is>
      </c>
      <c r="I101" s="2" t="inlineStr">
        <is>
          <t>주중+주말</t>
        </is>
      </c>
      <c r="J101" s="2" t="inlineStr"/>
      <c r="K101" s="2" t="n">
        <v>25000</v>
      </c>
      <c r="L101" s="2" t="n">
        <v>19000</v>
      </c>
      <c r="M101" s="2" t="n">
        <v>24</v>
      </c>
      <c r="N101" s="2" t="n">
        <v>24</v>
      </c>
      <c r="O101" s="2" t="inlineStr">
        <is>
          <t>1</t>
        </is>
      </c>
      <c r="P101" s="2" t="inlineStr">
        <is>
          <t>날짜지정</t>
        </is>
      </c>
      <c r="Q101" s="2" t="inlineStr">
        <is>
          <t>2025-12-01</t>
        </is>
      </c>
      <c r="R101" s="2" t="inlineStr">
        <is>
          <t>날짜지정</t>
        </is>
      </c>
      <c r="S101" s="2" t="inlineStr">
        <is>
          <t>2026-10-31</t>
        </is>
      </c>
      <c r="T101" s="2" t="b">
        <v>0</v>
      </c>
    </row>
    <row r="102">
      <c r="A102" s="2" t="inlineStr">
        <is>
          <t>319087</t>
        </is>
      </c>
      <c r="B102" s="2" t="inlineStr">
        <is>
          <t>4015586</t>
        </is>
      </c>
      <c r="C102" s="2" t="inlineStr">
        <is>
          <t>테마파크</t>
        </is>
      </c>
      <c r="D102" s="2" t="inlineStr">
        <is>
          <t>테마파크</t>
        </is>
      </c>
      <c r="E102" s="2" t="inlineStr">
        <is>
          <t>부산</t>
        </is>
      </c>
      <c r="F102" s="2" t="inlineStr">
        <is>
          <t>런닝맨&amp;다이나믹메이즈</t>
        </is>
      </c>
      <c r="G102" s="2" t="inlineStr">
        <is>
          <t>종합권 런닝맨(90분)+다이나믹메이즈PKG(~10/31)</t>
        </is>
      </c>
      <c r="H102" s="2" t="inlineStr">
        <is>
          <t>대소공통</t>
        </is>
      </c>
      <c r="I102" s="2" t="inlineStr">
        <is>
          <t>주중+주말</t>
        </is>
      </c>
      <c r="J102" s="2" t="inlineStr"/>
      <c r="K102" s="2" t="n">
        <v>35000</v>
      </c>
      <c r="L102" s="2" t="n">
        <v>24000</v>
      </c>
      <c r="M102" s="2" t="n">
        <v>31</v>
      </c>
      <c r="N102" s="2" t="n">
        <v>31.4</v>
      </c>
      <c r="O102" s="2" t="inlineStr">
        <is>
          <t>1</t>
        </is>
      </c>
      <c r="P102" s="2" t="inlineStr">
        <is>
          <t>날짜지정</t>
        </is>
      </c>
      <c r="Q102" s="2" t="inlineStr">
        <is>
          <t>2025-12-01</t>
        </is>
      </c>
      <c r="R102" s="2" t="inlineStr">
        <is>
          <t>날짜지정</t>
        </is>
      </c>
      <c r="S102" s="2" t="inlineStr">
        <is>
          <t>2026-10-31</t>
        </is>
      </c>
      <c r="T102" s="2" t="b">
        <v>0</v>
      </c>
    </row>
    <row r="103">
      <c r="A103" s="2" t="inlineStr">
        <is>
          <t>319150</t>
        </is>
      </c>
      <c r="B103" s="2" t="inlineStr">
        <is>
          <t>4016432</t>
        </is>
      </c>
      <c r="C103" s="2" t="inlineStr">
        <is>
          <t>테마파크</t>
        </is>
      </c>
      <c r="D103" s="2" t="inlineStr">
        <is>
          <t>테마파크</t>
        </is>
      </c>
      <c r="E103" s="2" t="inlineStr">
        <is>
          <t>인사동</t>
        </is>
      </c>
      <c r="F103" s="2" t="inlineStr">
        <is>
          <t>런닝맨 or 다이나믹메이즈</t>
        </is>
      </c>
      <c r="G103" s="2" t="inlineStr">
        <is>
          <t>런닝맨 1시간 이용권(~10/31)</t>
        </is>
      </c>
      <c r="H103" s="2" t="inlineStr">
        <is>
          <t>대소공통</t>
        </is>
      </c>
      <c r="I103" s="2" t="inlineStr">
        <is>
          <t>주중+주말</t>
        </is>
      </c>
      <c r="J103" s="2" t="inlineStr"/>
      <c r="K103" s="2" t="n">
        <v>19000</v>
      </c>
      <c r="L103" s="2" t="n">
        <v>15000</v>
      </c>
      <c r="M103" s="2" t="n">
        <v>21</v>
      </c>
      <c r="N103" s="2" t="n">
        <v>21.1</v>
      </c>
      <c r="O103" s="2" t="inlineStr">
        <is>
          <t>1</t>
        </is>
      </c>
      <c r="P103" s="2" t="inlineStr">
        <is>
          <t>날짜지정</t>
        </is>
      </c>
      <c r="Q103" s="2" t="inlineStr">
        <is>
          <t>2025-12-01</t>
        </is>
      </c>
      <c r="R103" s="2" t="inlineStr">
        <is>
          <t>날짜지정</t>
        </is>
      </c>
      <c r="S103" s="2" t="inlineStr">
        <is>
          <t>2026-10-31</t>
        </is>
      </c>
      <c r="T103" s="2" t="b">
        <v>1</v>
      </c>
    </row>
    <row r="104">
      <c r="A104" s="2" t="inlineStr">
        <is>
          <t>319150</t>
        </is>
      </c>
      <c r="B104" s="2" t="inlineStr">
        <is>
          <t>4016434</t>
        </is>
      </c>
      <c r="C104" s="2" t="inlineStr">
        <is>
          <t>테마파크</t>
        </is>
      </c>
      <c r="D104" s="2" t="inlineStr">
        <is>
          <t>테마파크</t>
        </is>
      </c>
      <c r="E104" s="2" t="inlineStr">
        <is>
          <t>인사동</t>
        </is>
      </c>
      <c r="F104" s="2" t="inlineStr">
        <is>
          <t>런닝맨 or 다이나믹메이즈</t>
        </is>
      </c>
      <c r="G104" s="2" t="inlineStr">
        <is>
          <t>런닝맨 1시간30분 이용권(~10/31)</t>
        </is>
      </c>
      <c r="H104" s="2" t="inlineStr">
        <is>
          <t>대소공통</t>
        </is>
      </c>
      <c r="I104" s="2" t="inlineStr">
        <is>
          <t>주중+주말</t>
        </is>
      </c>
      <c r="J104" s="2" t="inlineStr"/>
      <c r="K104" s="2" t="n">
        <v>25000</v>
      </c>
      <c r="L104" s="2" t="n">
        <v>20000</v>
      </c>
      <c r="M104" s="2" t="n">
        <v>20</v>
      </c>
      <c r="N104" s="2" t="n">
        <v>20</v>
      </c>
      <c r="O104" s="2" t="inlineStr">
        <is>
          <t>1</t>
        </is>
      </c>
      <c r="P104" s="2" t="inlineStr">
        <is>
          <t>날짜지정</t>
        </is>
      </c>
      <c r="Q104" s="2" t="inlineStr">
        <is>
          <t>2025-12-01</t>
        </is>
      </c>
      <c r="R104" s="2" t="inlineStr">
        <is>
          <t>날짜지정</t>
        </is>
      </c>
      <c r="S104" s="2" t="inlineStr">
        <is>
          <t>2026-10-31</t>
        </is>
      </c>
      <c r="T104" s="2" t="b">
        <v>0</v>
      </c>
    </row>
    <row r="105">
      <c r="A105" s="2" t="inlineStr">
        <is>
          <t>319150</t>
        </is>
      </c>
      <c r="B105" s="2" t="inlineStr">
        <is>
          <t>4016433</t>
        </is>
      </c>
      <c r="C105" s="2" t="inlineStr">
        <is>
          <t>테마파크</t>
        </is>
      </c>
      <c r="D105" s="2" t="inlineStr">
        <is>
          <t>테마파크</t>
        </is>
      </c>
      <c r="E105" s="2" t="inlineStr">
        <is>
          <t>인사동</t>
        </is>
      </c>
      <c r="F105" s="2" t="inlineStr">
        <is>
          <t>런닝맨 or 다이나믹메이즈</t>
        </is>
      </c>
      <c r="G105" s="2" t="inlineStr">
        <is>
          <t>다이나믹메이즈 이용권(~10/31)</t>
        </is>
      </c>
      <c r="H105" s="2" t="inlineStr">
        <is>
          <t>대소공통</t>
        </is>
      </c>
      <c r="I105" s="2" t="inlineStr">
        <is>
          <t>주중+주말</t>
        </is>
      </c>
      <c r="J105" s="2" t="inlineStr"/>
      <c r="K105" s="2" t="n">
        <v>16000</v>
      </c>
      <c r="L105" s="2" t="n">
        <v>13000</v>
      </c>
      <c r="M105" s="2" t="n">
        <v>19</v>
      </c>
      <c r="N105" s="2" t="n">
        <v>18.8</v>
      </c>
      <c r="O105" s="2" t="inlineStr">
        <is>
          <t>1</t>
        </is>
      </c>
      <c r="P105" s="2" t="inlineStr">
        <is>
          <t>날짜지정</t>
        </is>
      </c>
      <c r="Q105" s="2" t="inlineStr">
        <is>
          <t>2025-12-01</t>
        </is>
      </c>
      <c r="R105" s="2" t="inlineStr">
        <is>
          <t>날짜지정</t>
        </is>
      </c>
      <c r="S105" s="2" t="inlineStr">
        <is>
          <t>2026-10-31</t>
        </is>
      </c>
      <c r="T105" s="2" t="b">
        <v>0</v>
      </c>
    </row>
    <row r="106">
      <c r="A106" s="2" t="inlineStr">
        <is>
          <t>292620</t>
        </is>
      </c>
      <c r="B106" s="2" t="inlineStr">
        <is>
          <t>3414132</t>
        </is>
      </c>
      <c r="C106" s="2" t="inlineStr">
        <is>
          <t>테마파크</t>
        </is>
      </c>
      <c r="D106" s="2" t="inlineStr">
        <is>
          <t>테마파크</t>
        </is>
      </c>
      <c r="E106" s="2" t="inlineStr">
        <is>
          <t>화성</t>
        </is>
      </c>
      <c r="F106" s="2" t="inlineStr">
        <is>
          <t>네이처스케이프 플러스</t>
        </is>
      </c>
      <c r="G106" s="2" t="inlineStr">
        <is>
          <t>주중종일·주말4시간 이용권 네이처스케이프플러스</t>
        </is>
      </c>
      <c r="H106" s="2" t="inlineStr">
        <is>
          <t>대소공통</t>
        </is>
      </c>
      <c r="I106" s="2" t="inlineStr">
        <is>
          <t>주중+주말</t>
        </is>
      </c>
      <c r="J106" s="2" t="inlineStr">
        <is>
          <t>종일</t>
        </is>
      </c>
      <c r="K106" s="2" t="n">
        <v>29500</v>
      </c>
      <c r="L106" s="2" t="n">
        <v>19000</v>
      </c>
      <c r="M106" s="2" t="n">
        <v>36</v>
      </c>
      <c r="N106" s="2" t="n">
        <v>35.6</v>
      </c>
      <c r="O106" s="2" t="inlineStr">
        <is>
          <t>1</t>
        </is>
      </c>
      <c r="P106" s="2" t="inlineStr">
        <is>
          <t>구매일</t>
        </is>
      </c>
      <c r="Q106" s="2" t="inlineStr">
        <is>
          <t>0</t>
        </is>
      </c>
      <c r="R106" s="2" t="inlineStr">
        <is>
          <t>구매일</t>
        </is>
      </c>
      <c r="S106" s="2" t="inlineStr">
        <is>
          <t>60</t>
        </is>
      </c>
      <c r="T106" s="2" t="b">
        <v>1</v>
      </c>
    </row>
    <row r="107">
      <c r="A107" s="2" t="inlineStr">
        <is>
          <t>327851</t>
        </is>
      </c>
      <c r="B107" s="2" t="inlineStr">
        <is>
          <t>4226212</t>
        </is>
      </c>
      <c r="C107" s="2" t="inlineStr">
        <is>
          <t>테마파크</t>
        </is>
      </c>
      <c r="D107" s="2" t="inlineStr">
        <is>
          <t>테마파크</t>
        </is>
      </c>
      <c r="E107" s="2" t="inlineStr">
        <is>
          <t>홍천</t>
        </is>
      </c>
      <c r="F107" s="2" t="inlineStr">
        <is>
          <t>알파카월드</t>
        </is>
      </c>
      <c r="G107" s="2" t="inlineStr">
        <is>
          <t>1인 입장권 알파카월드(~11/30)</t>
        </is>
      </c>
      <c r="H107" s="2" t="inlineStr">
        <is>
          <t>대인</t>
        </is>
      </c>
      <c r="I107" s="2" t="inlineStr">
        <is>
          <t>주중+주말</t>
        </is>
      </c>
      <c r="J107" s="2" t="inlineStr">
        <is>
          <t>종일</t>
        </is>
      </c>
      <c r="K107" s="2" t="n">
        <v>18000</v>
      </c>
      <c r="L107" s="2" t="n">
        <v>14500</v>
      </c>
      <c r="M107" s="2" t="n">
        <v>19</v>
      </c>
      <c r="N107" s="2" t="n">
        <v>19.4</v>
      </c>
      <c r="O107" s="2" t="inlineStr">
        <is>
          <t>1</t>
        </is>
      </c>
      <c r="P107" s="2" t="inlineStr">
        <is>
          <t>구매일</t>
        </is>
      </c>
      <c r="Q107" s="2" t="inlineStr">
        <is>
          <t>0</t>
        </is>
      </c>
      <c r="R107" s="2" t="inlineStr">
        <is>
          <t>날짜지정</t>
        </is>
      </c>
      <c r="S107" s="2" t="inlineStr">
        <is>
          <t>2026-11-30</t>
        </is>
      </c>
      <c r="T107" s="2" t="b">
        <v>1</v>
      </c>
    </row>
    <row r="108">
      <c r="A108" s="2" t="inlineStr">
        <is>
          <t>322055</t>
        </is>
      </c>
      <c r="B108" s="2" t="inlineStr">
        <is>
          <t>4070593</t>
        </is>
      </c>
      <c r="C108" s="2" t="inlineStr">
        <is>
          <t>테마파크</t>
        </is>
      </c>
      <c r="D108" s="2" t="inlineStr">
        <is>
          <t>테마파크</t>
        </is>
      </c>
      <c r="E108" s="2" t="inlineStr">
        <is>
          <t>경기</t>
        </is>
      </c>
      <c r="F108" s="2" t="inlineStr">
        <is>
          <t>허브아일랜드</t>
        </is>
      </c>
      <c r="G108" s="2" t="inlineStr">
        <is>
          <t>1인 주중 소인 입장권 허브아일랜드(~12/31)</t>
        </is>
      </c>
      <c r="H108" s="2" t="inlineStr">
        <is>
          <t>소인</t>
        </is>
      </c>
      <c r="I108" s="2" t="inlineStr">
        <is>
          <t>주중</t>
        </is>
      </c>
      <c r="J108" s="2" t="inlineStr">
        <is>
          <t>종일</t>
        </is>
      </c>
      <c r="K108" s="2" t="n">
        <v>8000</v>
      </c>
      <c r="L108" s="2" t="n">
        <v>7000</v>
      </c>
      <c r="M108" s="2" t="n">
        <v>13</v>
      </c>
      <c r="N108" s="2" t="n">
        <v>12.5</v>
      </c>
      <c r="O108" s="2" t="inlineStr">
        <is>
          <t>1</t>
        </is>
      </c>
      <c r="P108" s="2" t="inlineStr">
        <is>
          <t>구매일</t>
        </is>
      </c>
      <c r="Q108" s="2" t="inlineStr">
        <is>
          <t>0</t>
        </is>
      </c>
      <c r="R108" s="2" t="inlineStr">
        <is>
          <t>날짜지정</t>
        </is>
      </c>
      <c r="S108" s="2" t="inlineStr">
        <is>
          <t>2026-12-31</t>
        </is>
      </c>
      <c r="T108" s="2" t="b">
        <v>1</v>
      </c>
    </row>
    <row r="109">
      <c r="A109" s="2" t="inlineStr">
        <is>
          <t>322055</t>
        </is>
      </c>
      <c r="B109" s="2" t="inlineStr">
        <is>
          <t>4070591</t>
        </is>
      </c>
      <c r="C109" s="2" t="inlineStr">
        <is>
          <t>테마파크</t>
        </is>
      </c>
      <c r="D109" s="2" t="inlineStr">
        <is>
          <t>테마파크</t>
        </is>
      </c>
      <c r="E109" s="2" t="inlineStr">
        <is>
          <t>경기</t>
        </is>
      </c>
      <c r="F109" s="2" t="inlineStr">
        <is>
          <t>허브아일랜드</t>
        </is>
      </c>
      <c r="G109" s="2" t="inlineStr">
        <is>
          <t>1인 주말 소인 입장권 허브아일랜드(~12/31)</t>
        </is>
      </c>
      <c r="H109" s="2" t="inlineStr">
        <is>
          <t>소인</t>
        </is>
      </c>
      <c r="I109" s="2" t="inlineStr">
        <is>
          <t>주중+주말</t>
        </is>
      </c>
      <c r="J109" s="2" t="inlineStr">
        <is>
          <t>종일</t>
        </is>
      </c>
      <c r="K109" s="2" t="n">
        <v>10000</v>
      </c>
      <c r="L109" s="2" t="n">
        <v>9000</v>
      </c>
      <c r="M109" s="2" t="n">
        <v>10</v>
      </c>
      <c r="N109" s="2" t="n">
        <v>10</v>
      </c>
      <c r="O109" s="2" t="inlineStr">
        <is>
          <t>1</t>
        </is>
      </c>
      <c r="P109" s="2" t="inlineStr">
        <is>
          <t>구매일</t>
        </is>
      </c>
      <c r="Q109" s="2" t="inlineStr">
        <is>
          <t>0</t>
        </is>
      </c>
      <c r="R109" s="2" t="inlineStr">
        <is>
          <t>날짜지정</t>
        </is>
      </c>
      <c r="S109" s="2" t="inlineStr">
        <is>
          <t>2026-12-31</t>
        </is>
      </c>
      <c r="T109" s="2" t="b">
        <v>0</v>
      </c>
    </row>
    <row r="110">
      <c r="A110" s="2" t="inlineStr">
        <is>
          <t>322055</t>
        </is>
      </c>
      <c r="B110" s="2" t="inlineStr">
        <is>
          <t>4070592</t>
        </is>
      </c>
      <c r="C110" s="2" t="inlineStr">
        <is>
          <t>테마파크</t>
        </is>
      </c>
      <c r="D110" s="2" t="inlineStr">
        <is>
          <t>테마파크</t>
        </is>
      </c>
      <c r="E110" s="2" t="inlineStr">
        <is>
          <t>경기</t>
        </is>
      </c>
      <c r="F110" s="2" t="inlineStr">
        <is>
          <t>허브아일랜드</t>
        </is>
      </c>
      <c r="G110" s="2" t="inlineStr">
        <is>
          <t>1인 주중 대인 입장권 허브아일랜드(~12/31)</t>
        </is>
      </c>
      <c r="H110" s="2" t="inlineStr">
        <is>
          <t>대인</t>
        </is>
      </c>
      <c r="I110" s="2" t="inlineStr">
        <is>
          <t>주중</t>
        </is>
      </c>
      <c r="J110" s="2" t="inlineStr">
        <is>
          <t>종일</t>
        </is>
      </c>
      <c r="K110" s="2" t="n">
        <v>10000</v>
      </c>
      <c r="L110" s="2" t="n">
        <v>9000</v>
      </c>
      <c r="M110" s="2" t="n">
        <v>10</v>
      </c>
      <c r="N110" s="2" t="n">
        <v>10</v>
      </c>
      <c r="O110" s="2" t="inlineStr">
        <is>
          <t>1</t>
        </is>
      </c>
      <c r="P110" s="2" t="inlineStr">
        <is>
          <t>구매일</t>
        </is>
      </c>
      <c r="Q110" s="2" t="inlineStr">
        <is>
          <t>0</t>
        </is>
      </c>
      <c r="R110" s="2" t="inlineStr">
        <is>
          <t>날짜지정</t>
        </is>
      </c>
      <c r="S110" s="2" t="inlineStr">
        <is>
          <t>2026-12-31</t>
        </is>
      </c>
      <c r="T110" s="2" t="b">
        <v>0</v>
      </c>
    </row>
    <row r="111">
      <c r="A111" s="2" t="inlineStr">
        <is>
          <t>322055</t>
        </is>
      </c>
      <c r="B111" s="2" t="inlineStr">
        <is>
          <t>4070590</t>
        </is>
      </c>
      <c r="C111" s="2" t="inlineStr">
        <is>
          <t>테마파크</t>
        </is>
      </c>
      <c r="D111" s="2" t="inlineStr">
        <is>
          <t>테마파크</t>
        </is>
      </c>
      <c r="E111" s="2" t="inlineStr">
        <is>
          <t>경기</t>
        </is>
      </c>
      <c r="F111" s="2" t="inlineStr">
        <is>
          <t>허브아일랜드</t>
        </is>
      </c>
      <c r="G111" s="2" t="inlineStr">
        <is>
          <t>1인 주말 대인 입장권 허브아일랜드(~12/31)</t>
        </is>
      </c>
      <c r="H111" s="2" t="inlineStr">
        <is>
          <t>대인</t>
        </is>
      </c>
      <c r="I111" s="2" t="inlineStr">
        <is>
          <t>주중+주말</t>
        </is>
      </c>
      <c r="J111" s="2" t="inlineStr">
        <is>
          <t>종일</t>
        </is>
      </c>
      <c r="K111" s="2" t="n">
        <v>12000</v>
      </c>
      <c r="L111" s="2" t="n">
        <v>11000</v>
      </c>
      <c r="M111" s="2" t="n">
        <v>8</v>
      </c>
      <c r="N111" s="2" t="n">
        <v>8.300000000000001</v>
      </c>
      <c r="O111" s="2" t="inlineStr">
        <is>
          <t>1</t>
        </is>
      </c>
      <c r="P111" s="2" t="inlineStr">
        <is>
          <t>구매일</t>
        </is>
      </c>
      <c r="Q111" s="2" t="inlineStr">
        <is>
          <t>0</t>
        </is>
      </c>
      <c r="R111" s="2" t="inlineStr">
        <is>
          <t>날짜지정</t>
        </is>
      </c>
      <c r="S111" s="2" t="inlineStr">
        <is>
          <t>2026-12-31</t>
        </is>
      </c>
      <c r="T111" s="2" t="b">
        <v>0</v>
      </c>
    </row>
    <row r="112">
      <c r="A112" s="2" t="inlineStr">
        <is>
          <t>327788</t>
        </is>
      </c>
      <c r="B112" s="2" t="inlineStr">
        <is>
          <t>4226011</t>
        </is>
      </c>
      <c r="C112" s="2" t="inlineStr">
        <is>
          <t>테마파크</t>
        </is>
      </c>
      <c r="D112" s="2" t="inlineStr">
        <is>
          <t>테마파크</t>
        </is>
      </c>
      <c r="E112" s="2" t="inlineStr">
        <is>
          <t>대구</t>
        </is>
      </c>
      <c r="F112" s="2" t="inlineStr">
        <is>
          <t>드림닥터 대구점 의사직업체험</t>
        </is>
      </c>
      <c r="G112" s="2" t="inlineStr">
        <is>
          <t>보호자 이용권 대구 드림닥터(~10/31)</t>
        </is>
      </c>
      <c r="H112" s="2" t="inlineStr">
        <is>
          <t>대인</t>
        </is>
      </c>
      <c r="I112" s="2" t="inlineStr">
        <is>
          <t>주중+주말</t>
        </is>
      </c>
      <c r="J112" s="2" t="inlineStr">
        <is>
          <t>종일</t>
        </is>
      </c>
      <c r="K112" s="2" t="n">
        <v>8000</v>
      </c>
      <c r="L112" s="2" t="n">
        <v>7200</v>
      </c>
      <c r="M112" s="2" t="n">
        <v>10</v>
      </c>
      <c r="N112" s="2" t="n">
        <v>10</v>
      </c>
      <c r="O112" s="2" t="inlineStr">
        <is>
          <t>1</t>
        </is>
      </c>
      <c r="P112" s="2" t="inlineStr">
        <is>
          <t>구매일</t>
        </is>
      </c>
      <c r="Q112" s="2" t="inlineStr">
        <is>
          <t>0</t>
        </is>
      </c>
      <c r="R112" s="2" t="inlineStr">
        <is>
          <t>날짜지정</t>
        </is>
      </c>
      <c r="S112" s="2" t="inlineStr">
        <is>
          <t>2026-10-31</t>
        </is>
      </c>
      <c r="T112" s="2" t="b">
        <v>1</v>
      </c>
    </row>
    <row r="113">
      <c r="A113" s="2" t="inlineStr">
        <is>
          <t>327788</t>
        </is>
      </c>
      <c r="B113" s="2" t="inlineStr">
        <is>
          <t>4226009</t>
        </is>
      </c>
      <c r="C113" s="2" t="inlineStr">
        <is>
          <t>테마파크</t>
        </is>
      </c>
      <c r="D113" s="2" t="inlineStr">
        <is>
          <t>테마파크</t>
        </is>
      </c>
      <c r="E113" s="2" t="inlineStr">
        <is>
          <t>대구</t>
        </is>
      </c>
      <c r="F113" s="2" t="inlineStr">
        <is>
          <t>드림닥터 대구점 의사직업체험</t>
        </is>
      </c>
      <c r="G113" s="2" t="inlineStr">
        <is>
          <t>레지던트권 대구 드림닥터(~10/31)</t>
        </is>
      </c>
      <c r="H113" s="2" t="inlineStr">
        <is>
          <t>대소공통</t>
        </is>
      </c>
      <c r="I113" s="2" t="inlineStr">
        <is>
          <t>주중+주말</t>
        </is>
      </c>
      <c r="J113" s="2" t="inlineStr">
        <is>
          <t>종일</t>
        </is>
      </c>
      <c r="K113" s="2" t="n">
        <v>37000</v>
      </c>
      <c r="L113" s="2" t="n">
        <v>29600</v>
      </c>
      <c r="M113" s="2" t="n">
        <v>20</v>
      </c>
      <c r="N113" s="2" t="n">
        <v>20</v>
      </c>
      <c r="O113" s="2" t="inlineStr">
        <is>
          <t>1</t>
        </is>
      </c>
      <c r="P113" s="2" t="inlineStr">
        <is>
          <t>구매일</t>
        </is>
      </c>
      <c r="Q113" s="2" t="inlineStr">
        <is>
          <t>0</t>
        </is>
      </c>
      <c r="R113" s="2" t="inlineStr">
        <is>
          <t>날짜지정</t>
        </is>
      </c>
      <c r="S113" s="2" t="inlineStr">
        <is>
          <t>2026-10-31</t>
        </is>
      </c>
      <c r="T113" s="2" t="b">
        <v>0</v>
      </c>
    </row>
    <row r="114">
      <c r="A114" s="2" t="inlineStr">
        <is>
          <t>327788</t>
        </is>
      </c>
      <c r="B114" s="2" t="inlineStr">
        <is>
          <t>4226010</t>
        </is>
      </c>
      <c r="C114" s="2" t="inlineStr">
        <is>
          <t>테마파크</t>
        </is>
      </c>
      <c r="D114" s="2" t="inlineStr">
        <is>
          <t>테마파크</t>
        </is>
      </c>
      <c r="E114" s="2" t="inlineStr">
        <is>
          <t>대구</t>
        </is>
      </c>
      <c r="F114" s="2" t="inlineStr">
        <is>
          <t>드림닥터 대구점 의사직업체험</t>
        </is>
      </c>
      <c r="G114" s="2" t="inlineStr">
        <is>
          <t>전문의권 대구 드림닥터(~10/31)</t>
        </is>
      </c>
      <c r="H114" s="2" t="inlineStr">
        <is>
          <t>대소공통</t>
        </is>
      </c>
      <c r="I114" s="2" t="inlineStr">
        <is>
          <t>주중+주말</t>
        </is>
      </c>
      <c r="J114" s="2" t="inlineStr">
        <is>
          <t>종일</t>
        </is>
      </c>
      <c r="K114" s="2" t="n">
        <v>46000</v>
      </c>
      <c r="L114" s="2" t="n">
        <v>36800</v>
      </c>
      <c r="M114" s="2" t="n">
        <v>20</v>
      </c>
      <c r="N114" s="2" t="n">
        <v>20</v>
      </c>
      <c r="O114" s="2" t="inlineStr">
        <is>
          <t>1</t>
        </is>
      </c>
      <c r="P114" s="2" t="inlineStr">
        <is>
          <t>구매일</t>
        </is>
      </c>
      <c r="Q114" s="2" t="inlineStr">
        <is>
          <t>0</t>
        </is>
      </c>
      <c r="R114" s="2" t="inlineStr">
        <is>
          <t>날짜지정</t>
        </is>
      </c>
      <c r="S114" s="2" t="inlineStr">
        <is>
          <t>2026-10-31</t>
        </is>
      </c>
      <c r="T114" s="2" t="b">
        <v>0</v>
      </c>
    </row>
    <row r="115">
      <c r="A115" s="2" t="inlineStr">
        <is>
          <t>327725</t>
        </is>
      </c>
      <c r="B115" s="2" t="inlineStr">
        <is>
          <t>4225557</t>
        </is>
      </c>
      <c r="C115" s="2" t="inlineStr">
        <is>
          <t>테마파크</t>
        </is>
      </c>
      <c r="D115" s="2" t="inlineStr">
        <is>
          <t>테마파크</t>
        </is>
      </c>
      <c r="E115" s="2" t="inlineStr">
        <is>
          <t>대전</t>
        </is>
      </c>
      <c r="F115" s="2" t="inlineStr">
        <is>
          <t>드림닥터 대전점 의사직업체험</t>
        </is>
      </c>
      <c r="G115" s="2" t="inlineStr">
        <is>
          <t>보호자권 대전 드림닥터(~10/31)</t>
        </is>
      </c>
      <c r="H115" s="2" t="inlineStr">
        <is>
          <t>대소공통</t>
        </is>
      </c>
      <c r="I115" s="2" t="inlineStr">
        <is>
          <t>주중+주말</t>
        </is>
      </c>
      <c r="J115" s="2" t="inlineStr">
        <is>
          <t>종일</t>
        </is>
      </c>
      <c r="K115" s="2" t="n">
        <v>8000</v>
      </c>
      <c r="L115" s="2" t="n">
        <v>6400</v>
      </c>
      <c r="M115" s="2" t="n">
        <v>20</v>
      </c>
      <c r="N115" s="2" t="n">
        <v>20</v>
      </c>
      <c r="O115" s="2" t="inlineStr">
        <is>
          <t>1</t>
        </is>
      </c>
      <c r="P115" s="2" t="inlineStr">
        <is>
          <t>구매일</t>
        </is>
      </c>
      <c r="Q115" s="2" t="inlineStr">
        <is>
          <t>0</t>
        </is>
      </c>
      <c r="R115" s="2" t="inlineStr">
        <is>
          <t>날짜지정</t>
        </is>
      </c>
      <c r="S115" s="2" t="inlineStr">
        <is>
          <t>2026-10-31</t>
        </is>
      </c>
      <c r="T115" s="2" t="b">
        <v>1</v>
      </c>
    </row>
    <row r="116">
      <c r="A116" s="2" t="inlineStr">
        <is>
          <t>327725</t>
        </is>
      </c>
      <c r="B116" s="2" t="inlineStr">
        <is>
          <t>4225560</t>
        </is>
      </c>
      <c r="C116" s="2" t="inlineStr">
        <is>
          <t>테마파크</t>
        </is>
      </c>
      <c r="D116" s="2" t="inlineStr">
        <is>
          <t>테마파크</t>
        </is>
      </c>
      <c r="E116" s="2" t="inlineStr">
        <is>
          <t>대전</t>
        </is>
      </c>
      <c r="F116" s="2" t="inlineStr">
        <is>
          <t>드림닥터 대전점 의사직업체험</t>
        </is>
      </c>
      <c r="G116" s="2" t="inlineStr">
        <is>
          <t>2시간권 대전 드림닥터(~10/31)</t>
        </is>
      </c>
      <c r="H116" s="2" t="inlineStr">
        <is>
          <t>대소공통</t>
        </is>
      </c>
      <c r="I116" s="2" t="inlineStr">
        <is>
          <t>주중+주말</t>
        </is>
      </c>
      <c r="J116" s="2" t="inlineStr">
        <is>
          <t>종일</t>
        </is>
      </c>
      <c r="K116" s="2" t="n">
        <v>28000</v>
      </c>
      <c r="L116" s="2" t="n">
        <v>22400</v>
      </c>
      <c r="M116" s="2" t="n">
        <v>20</v>
      </c>
      <c r="N116" s="2" t="n">
        <v>20</v>
      </c>
      <c r="O116" s="2" t="inlineStr">
        <is>
          <t>1</t>
        </is>
      </c>
      <c r="P116" s="2" t="inlineStr">
        <is>
          <t>구매일</t>
        </is>
      </c>
      <c r="Q116" s="2" t="inlineStr">
        <is>
          <t>0</t>
        </is>
      </c>
      <c r="R116" s="2" t="inlineStr">
        <is>
          <t>날짜지정</t>
        </is>
      </c>
      <c r="S116" s="2" t="inlineStr">
        <is>
          <t>2026-10-31</t>
        </is>
      </c>
      <c r="T116" s="2" t="b">
        <v>0</v>
      </c>
    </row>
    <row r="117">
      <c r="A117" s="2" t="inlineStr">
        <is>
          <t>327725</t>
        </is>
      </c>
      <c r="B117" s="2" t="inlineStr">
        <is>
          <t>4225558</t>
        </is>
      </c>
      <c r="C117" s="2" t="inlineStr">
        <is>
          <t>테마파크</t>
        </is>
      </c>
      <c r="D117" s="2" t="inlineStr">
        <is>
          <t>테마파크</t>
        </is>
      </c>
      <c r="E117" s="2" t="inlineStr">
        <is>
          <t>대전</t>
        </is>
      </c>
      <c r="F117" s="2" t="inlineStr">
        <is>
          <t>드림닥터 대전점 의사직업체험</t>
        </is>
      </c>
      <c r="G117" s="2" t="inlineStr">
        <is>
          <t>레지던트권 대전 드림닥터(~10/31)</t>
        </is>
      </c>
      <c r="H117" s="2" t="inlineStr">
        <is>
          <t>대소공통</t>
        </is>
      </c>
      <c r="I117" s="2" t="inlineStr">
        <is>
          <t>주중+주말</t>
        </is>
      </c>
      <c r="J117" s="2" t="inlineStr">
        <is>
          <t>종일</t>
        </is>
      </c>
      <c r="K117" s="2" t="n">
        <v>37000</v>
      </c>
      <c r="L117" s="2" t="n">
        <v>29600</v>
      </c>
      <c r="M117" s="2" t="n">
        <v>20</v>
      </c>
      <c r="N117" s="2" t="n">
        <v>20</v>
      </c>
      <c r="O117" s="2" t="inlineStr">
        <is>
          <t>1</t>
        </is>
      </c>
      <c r="P117" s="2" t="inlineStr">
        <is>
          <t>구매일</t>
        </is>
      </c>
      <c r="Q117" s="2" t="inlineStr">
        <is>
          <t>0</t>
        </is>
      </c>
      <c r="R117" s="2" t="inlineStr">
        <is>
          <t>날짜지정</t>
        </is>
      </c>
      <c r="S117" s="2" t="inlineStr">
        <is>
          <t>2026-10-31</t>
        </is>
      </c>
      <c r="T117" s="2" t="b">
        <v>0</v>
      </c>
    </row>
    <row r="118">
      <c r="A118" s="2" t="inlineStr">
        <is>
          <t>327725</t>
        </is>
      </c>
      <c r="B118" s="2" t="inlineStr">
        <is>
          <t>4225559</t>
        </is>
      </c>
      <c r="C118" s="2" t="inlineStr">
        <is>
          <t>테마파크</t>
        </is>
      </c>
      <c r="D118" s="2" t="inlineStr">
        <is>
          <t>테마파크</t>
        </is>
      </c>
      <c r="E118" s="2" t="inlineStr">
        <is>
          <t>대전</t>
        </is>
      </c>
      <c r="F118" s="2" t="inlineStr">
        <is>
          <t>드림닥터 대전점 의사직업체험</t>
        </is>
      </c>
      <c r="G118" s="2" t="inlineStr">
        <is>
          <t>4시간권 대전 드림닥터(~10/31)</t>
        </is>
      </c>
      <c r="H118" s="2" t="inlineStr">
        <is>
          <t>대소공통</t>
        </is>
      </c>
      <c r="I118" s="2" t="inlineStr">
        <is>
          <t>주중+주말</t>
        </is>
      </c>
      <c r="J118" s="2" t="inlineStr">
        <is>
          <t>종일</t>
        </is>
      </c>
      <c r="K118" s="2" t="n">
        <v>37000</v>
      </c>
      <c r="L118" s="2" t="n">
        <v>29600</v>
      </c>
      <c r="M118" s="2" t="n">
        <v>20</v>
      </c>
      <c r="N118" s="2" t="n">
        <v>20</v>
      </c>
      <c r="O118" s="2" t="inlineStr">
        <is>
          <t>1</t>
        </is>
      </c>
      <c r="P118" s="2" t="inlineStr">
        <is>
          <t>구매일</t>
        </is>
      </c>
      <c r="Q118" s="2" t="inlineStr">
        <is>
          <t>0</t>
        </is>
      </c>
      <c r="R118" s="2" t="inlineStr">
        <is>
          <t>날짜지정</t>
        </is>
      </c>
      <c r="S118" s="2" t="inlineStr">
        <is>
          <t>2026-10-31</t>
        </is>
      </c>
      <c r="T118" s="2" t="b">
        <v>0</v>
      </c>
    </row>
    <row r="119">
      <c r="A119" s="2" t="inlineStr">
        <is>
          <t>311557</t>
        </is>
      </c>
      <c r="B119" s="2" t="inlineStr">
        <is>
          <t>3798413</t>
        </is>
      </c>
      <c r="C119" s="2" t="inlineStr">
        <is>
          <t>테마파크</t>
        </is>
      </c>
      <c r="D119" s="2" t="inlineStr">
        <is>
          <t>테마파크</t>
        </is>
      </c>
      <c r="E119" s="2" t="inlineStr">
        <is>
          <t>과천</t>
        </is>
      </c>
      <c r="F119" s="2" t="inlineStr">
        <is>
          <t>원더파크</t>
        </is>
      </c>
      <c r="G119" s="2" t="inlineStr">
        <is>
          <t>소인이용권 원더파크</t>
        </is>
      </c>
      <c r="H119" s="2" t="inlineStr">
        <is>
          <t>소인</t>
        </is>
      </c>
      <c r="I119" s="2" t="inlineStr">
        <is>
          <t>주중+주말</t>
        </is>
      </c>
      <c r="J119" s="2" t="inlineStr">
        <is>
          <t>종일</t>
        </is>
      </c>
      <c r="K119" s="2" t="n">
        <v>19000</v>
      </c>
      <c r="L119" s="2" t="n">
        <v>14500</v>
      </c>
      <c r="M119" s="2" t="n">
        <v>24</v>
      </c>
      <c r="N119" s="2" t="n">
        <v>23.7</v>
      </c>
      <c r="O119" s="2" t="inlineStr">
        <is>
          <t>1</t>
        </is>
      </c>
      <c r="P119" s="2" t="inlineStr">
        <is>
          <t>구매일</t>
        </is>
      </c>
      <c r="Q119" s="2" t="inlineStr">
        <is>
          <t>0</t>
        </is>
      </c>
      <c r="R119" s="2" t="inlineStr">
        <is>
          <t>구매일</t>
        </is>
      </c>
      <c r="S119" s="2" t="inlineStr">
        <is>
          <t>60</t>
        </is>
      </c>
      <c r="T119" s="2" t="b">
        <v>1</v>
      </c>
    </row>
    <row r="120">
      <c r="A120" s="2" t="inlineStr">
        <is>
          <t>311557</t>
        </is>
      </c>
      <c r="B120" s="2" t="inlineStr">
        <is>
          <t>3798411</t>
        </is>
      </c>
      <c r="C120" s="2" t="inlineStr">
        <is>
          <t>테마파크</t>
        </is>
      </c>
      <c r="D120" s="2" t="inlineStr">
        <is>
          <t>테마파크</t>
        </is>
      </c>
      <c r="E120" s="2" t="inlineStr">
        <is>
          <t>과천</t>
        </is>
      </c>
      <c r="F120" s="2" t="inlineStr">
        <is>
          <t>원더파크</t>
        </is>
      </c>
      <c r="G120" s="2" t="inlineStr">
        <is>
          <t>대인이용권 원더파크</t>
        </is>
      </c>
      <c r="H120" s="2" t="inlineStr">
        <is>
          <t>대인</t>
        </is>
      </c>
      <c r="I120" s="2" t="inlineStr">
        <is>
          <t>주중+주말</t>
        </is>
      </c>
      <c r="J120" s="2" t="inlineStr">
        <is>
          <t>종일</t>
        </is>
      </c>
      <c r="K120" s="2" t="n">
        <v>22000</v>
      </c>
      <c r="L120" s="2" t="n">
        <v>16500</v>
      </c>
      <c r="M120" s="2" t="n">
        <v>25</v>
      </c>
      <c r="N120" s="2" t="n">
        <v>25</v>
      </c>
      <c r="O120" s="2" t="inlineStr">
        <is>
          <t>1</t>
        </is>
      </c>
      <c r="P120" s="2" t="inlineStr">
        <is>
          <t>구매일</t>
        </is>
      </c>
      <c r="Q120" s="2" t="inlineStr">
        <is>
          <t>0</t>
        </is>
      </c>
      <c r="R120" s="2" t="inlineStr">
        <is>
          <t>구매일</t>
        </is>
      </c>
      <c r="S120" s="2" t="inlineStr">
        <is>
          <t>60</t>
        </is>
      </c>
      <c r="T120" s="2" t="b">
        <v>0</v>
      </c>
    </row>
    <row r="121">
      <c r="A121" s="2" t="inlineStr">
        <is>
          <t>311746</t>
        </is>
      </c>
      <c r="B121" s="2" t="inlineStr">
        <is>
          <t>3802694</t>
        </is>
      </c>
      <c r="C121" s="2" t="inlineStr">
        <is>
          <t>테마파크</t>
        </is>
      </c>
      <c r="D121" s="2" t="inlineStr">
        <is>
          <t>테마파크</t>
        </is>
      </c>
      <c r="E121" s="2" t="inlineStr">
        <is>
          <t>경주/오산</t>
        </is>
      </c>
      <c r="F121" s="2" t="inlineStr">
        <is>
          <t>버드파크</t>
        </is>
      </c>
      <c r="G121" s="2" t="inlineStr">
        <is>
          <t>대인이용권 오산버드파크</t>
        </is>
      </c>
      <c r="H121" s="2" t="inlineStr">
        <is>
          <t>대인</t>
        </is>
      </c>
      <c r="I121" s="2" t="inlineStr">
        <is>
          <t>주중+주말</t>
        </is>
      </c>
      <c r="J121" s="2" t="inlineStr">
        <is>
          <t>종일</t>
        </is>
      </c>
      <c r="K121" s="2" t="n">
        <v>23000</v>
      </c>
      <c r="L121" s="2" t="n">
        <v>17800</v>
      </c>
      <c r="M121" s="2" t="n">
        <v>23</v>
      </c>
      <c r="N121" s="2" t="n">
        <v>22.6</v>
      </c>
      <c r="O121" s="2" t="inlineStr">
        <is>
          <t>1</t>
        </is>
      </c>
      <c r="P121" s="2" t="inlineStr">
        <is>
          <t>구매일</t>
        </is>
      </c>
      <c r="Q121" s="2" t="inlineStr">
        <is>
          <t>0</t>
        </is>
      </c>
      <c r="R121" s="2" t="inlineStr">
        <is>
          <t>구매일</t>
        </is>
      </c>
      <c r="S121" s="2" t="inlineStr">
        <is>
          <t>60</t>
        </is>
      </c>
      <c r="T121" s="2" t="b">
        <v>1</v>
      </c>
    </row>
    <row r="122">
      <c r="A122" s="2" t="inlineStr">
        <is>
          <t>311746</t>
        </is>
      </c>
      <c r="B122" s="2" t="inlineStr">
        <is>
          <t>3802695</t>
        </is>
      </c>
      <c r="C122" s="2" t="inlineStr">
        <is>
          <t>테마파크</t>
        </is>
      </c>
      <c r="D122" s="2" t="inlineStr">
        <is>
          <t>테마파크</t>
        </is>
      </c>
      <c r="E122" s="2" t="inlineStr">
        <is>
          <t>경주/오산</t>
        </is>
      </c>
      <c r="F122" s="2" t="inlineStr">
        <is>
          <t>버드파크</t>
        </is>
      </c>
      <c r="G122" s="2" t="inlineStr">
        <is>
          <t>소인이용권 오산버드파크</t>
        </is>
      </c>
      <c r="H122" s="2" t="inlineStr">
        <is>
          <t>소인</t>
        </is>
      </c>
      <c r="I122" s="2" t="inlineStr">
        <is>
          <t>주중+주말</t>
        </is>
      </c>
      <c r="J122" s="2" t="inlineStr">
        <is>
          <t>종일</t>
        </is>
      </c>
      <c r="K122" s="2" t="n">
        <v>19000</v>
      </c>
      <c r="L122" s="2" t="n">
        <v>14800</v>
      </c>
      <c r="M122" s="2" t="n">
        <v>22</v>
      </c>
      <c r="N122" s="2" t="n">
        <v>22.1</v>
      </c>
      <c r="O122" s="2" t="inlineStr">
        <is>
          <t>1</t>
        </is>
      </c>
      <c r="P122" s="2" t="inlineStr">
        <is>
          <t>구매일</t>
        </is>
      </c>
      <c r="Q122" s="2" t="inlineStr">
        <is>
          <t>0</t>
        </is>
      </c>
      <c r="R122" s="2" t="inlineStr">
        <is>
          <t>구매일</t>
        </is>
      </c>
      <c r="S122" s="2" t="inlineStr">
        <is>
          <t>60</t>
        </is>
      </c>
      <c r="T122" s="2" t="b">
        <v>0</v>
      </c>
    </row>
    <row r="123">
      <c r="A123" s="2" t="inlineStr">
        <is>
          <t>311746</t>
        </is>
      </c>
      <c r="B123" s="2" t="inlineStr">
        <is>
          <t>3802696</t>
        </is>
      </c>
      <c r="C123" s="2" t="inlineStr">
        <is>
          <t>테마파크</t>
        </is>
      </c>
      <c r="D123" s="2" t="inlineStr">
        <is>
          <t>테마파크</t>
        </is>
      </c>
      <c r="E123" s="2" t="inlineStr">
        <is>
          <t>경주/오산</t>
        </is>
      </c>
      <c r="F123" s="2" t="inlineStr">
        <is>
          <t>버드파크</t>
        </is>
      </c>
      <c r="G123" s="2" t="inlineStr">
        <is>
          <t>대인이용권 경주버드파크</t>
        </is>
      </c>
      <c r="H123" s="2" t="inlineStr">
        <is>
          <t>대인</t>
        </is>
      </c>
      <c r="I123" s="2" t="inlineStr">
        <is>
          <t>주중+주말</t>
        </is>
      </c>
      <c r="J123" s="2" t="inlineStr">
        <is>
          <t>종일</t>
        </is>
      </c>
      <c r="K123" s="2" t="n">
        <v>20000</v>
      </c>
      <c r="L123" s="2" t="n">
        <v>16300</v>
      </c>
      <c r="M123" s="2" t="n">
        <v>19</v>
      </c>
      <c r="N123" s="2" t="n">
        <v>18.5</v>
      </c>
      <c r="O123" s="2" t="inlineStr">
        <is>
          <t>1</t>
        </is>
      </c>
      <c r="P123" s="2" t="inlineStr">
        <is>
          <t>구매일</t>
        </is>
      </c>
      <c r="Q123" s="2" t="inlineStr">
        <is>
          <t>0</t>
        </is>
      </c>
      <c r="R123" s="2" t="inlineStr">
        <is>
          <t>구매일</t>
        </is>
      </c>
      <c r="S123" s="2" t="inlineStr">
        <is>
          <t>60</t>
        </is>
      </c>
      <c r="T123" s="2" t="b">
        <v>0</v>
      </c>
    </row>
    <row r="124">
      <c r="A124" s="2" t="inlineStr">
        <is>
          <t>311746</t>
        </is>
      </c>
      <c r="B124" s="2" t="inlineStr">
        <is>
          <t>3802697</t>
        </is>
      </c>
      <c r="C124" s="2" t="inlineStr">
        <is>
          <t>테마파크</t>
        </is>
      </c>
      <c r="D124" s="2" t="inlineStr">
        <is>
          <t>테마파크</t>
        </is>
      </c>
      <c r="E124" s="2" t="inlineStr">
        <is>
          <t>경주/오산</t>
        </is>
      </c>
      <c r="F124" s="2" t="inlineStr">
        <is>
          <t>버드파크</t>
        </is>
      </c>
      <c r="G124" s="2" t="inlineStr">
        <is>
          <t>소인이용권 경주버드파크</t>
        </is>
      </c>
      <c r="H124" s="2" t="inlineStr">
        <is>
          <t>소인</t>
        </is>
      </c>
      <c r="I124" s="2" t="inlineStr">
        <is>
          <t>주중+주말</t>
        </is>
      </c>
      <c r="J124" s="2" t="inlineStr">
        <is>
          <t>종일</t>
        </is>
      </c>
      <c r="K124" s="2" t="n">
        <v>15000</v>
      </c>
      <c r="L124" s="2" t="n">
        <v>12300</v>
      </c>
      <c r="M124" s="2" t="n">
        <v>18</v>
      </c>
      <c r="N124" s="2" t="n">
        <v>18</v>
      </c>
      <c r="O124" s="2" t="inlineStr">
        <is>
          <t>1</t>
        </is>
      </c>
      <c r="P124" s="2" t="inlineStr">
        <is>
          <t>구매일</t>
        </is>
      </c>
      <c r="Q124" s="2" t="inlineStr">
        <is>
          <t>0</t>
        </is>
      </c>
      <c r="R124" s="2" t="inlineStr">
        <is>
          <t>구매일</t>
        </is>
      </c>
      <c r="S124" s="2" t="inlineStr">
        <is>
          <t>60</t>
        </is>
      </c>
      <c r="T124" s="2" t="b">
        <v>0</v>
      </c>
    </row>
    <row r="125">
      <c r="A125" s="2" t="inlineStr">
        <is>
          <t>319024</t>
        </is>
      </c>
      <c r="B125" s="2" t="inlineStr">
        <is>
          <t>4013859</t>
        </is>
      </c>
      <c r="C125" s="2" t="inlineStr">
        <is>
          <t>테마파크</t>
        </is>
      </c>
      <c r="D125" s="2" t="inlineStr">
        <is>
          <t>테마파크</t>
        </is>
      </c>
      <c r="E125" s="2" t="inlineStr">
        <is>
          <t>여주</t>
        </is>
      </c>
      <c r="F125" s="2" t="inlineStr">
        <is>
          <t>루덴시아</t>
        </is>
      </c>
      <c r="G125" s="2" t="inlineStr">
        <is>
          <t>주중 대인입장권 루덴시아(~9/30)</t>
        </is>
      </c>
      <c r="H125" s="2" t="inlineStr">
        <is>
          <t>대인</t>
        </is>
      </c>
      <c r="I125" s="2" t="inlineStr">
        <is>
          <t>주중</t>
        </is>
      </c>
      <c r="J125" s="2" t="inlineStr">
        <is>
          <t>종일</t>
        </is>
      </c>
      <c r="K125" s="2" t="n">
        <v>27000</v>
      </c>
      <c r="L125" s="2" t="n">
        <v>14500</v>
      </c>
      <c r="M125" s="2" t="n">
        <v>46</v>
      </c>
      <c r="N125" s="2" t="n">
        <v>46.3</v>
      </c>
      <c r="O125" s="2" t="inlineStr">
        <is>
          <t>1</t>
        </is>
      </c>
      <c r="P125" s="2" t="inlineStr">
        <is>
          <t>날짜지정</t>
        </is>
      </c>
      <c r="Q125" s="2" t="inlineStr">
        <is>
          <t>2025-11-01</t>
        </is>
      </c>
      <c r="R125" s="2" t="inlineStr">
        <is>
          <t>날짜지정</t>
        </is>
      </c>
      <c r="S125" s="2" t="inlineStr">
        <is>
          <t>2026-09-30</t>
        </is>
      </c>
      <c r="T125" s="2" t="b">
        <v>1</v>
      </c>
    </row>
    <row r="126">
      <c r="A126" s="2" t="inlineStr">
        <is>
          <t>319024</t>
        </is>
      </c>
      <c r="B126" s="2" t="inlineStr">
        <is>
          <t>4013860</t>
        </is>
      </c>
      <c r="C126" s="2" t="inlineStr">
        <is>
          <t>테마파크</t>
        </is>
      </c>
      <c r="D126" s="2" t="inlineStr">
        <is>
          <t>테마파크</t>
        </is>
      </c>
      <c r="E126" s="2" t="inlineStr">
        <is>
          <t>여주</t>
        </is>
      </c>
      <c r="F126" s="2" t="inlineStr">
        <is>
          <t>루덴시아</t>
        </is>
      </c>
      <c r="G126" s="2" t="inlineStr">
        <is>
          <t>주중 소인입장권 루덴시아(~9/30)</t>
        </is>
      </c>
      <c r="H126" s="2" t="inlineStr">
        <is>
          <t>소인</t>
        </is>
      </c>
      <c r="I126" s="2" t="inlineStr">
        <is>
          <t>주중</t>
        </is>
      </c>
      <c r="J126" s="2" t="inlineStr">
        <is>
          <t>종일</t>
        </is>
      </c>
      <c r="K126" s="2" t="n">
        <v>17000</v>
      </c>
      <c r="L126" s="2" t="n">
        <v>10000</v>
      </c>
      <c r="M126" s="2" t="n">
        <v>41</v>
      </c>
      <c r="N126" s="2" t="n">
        <v>41.2</v>
      </c>
      <c r="O126" s="2" t="inlineStr">
        <is>
          <t>1</t>
        </is>
      </c>
      <c r="P126" s="2" t="inlineStr">
        <is>
          <t>날짜지정</t>
        </is>
      </c>
      <c r="Q126" s="2" t="inlineStr">
        <is>
          <t>2025-11-01</t>
        </is>
      </c>
      <c r="R126" s="2" t="inlineStr">
        <is>
          <t>날짜지정</t>
        </is>
      </c>
      <c r="S126" s="2" t="inlineStr">
        <is>
          <t>2026-09-30</t>
        </is>
      </c>
      <c r="T126" s="2" t="b">
        <v>0</v>
      </c>
    </row>
    <row r="127">
      <c r="A127" s="2" t="inlineStr">
        <is>
          <t>319024</t>
        </is>
      </c>
      <c r="B127" s="2" t="inlineStr">
        <is>
          <t>4013857</t>
        </is>
      </c>
      <c r="C127" s="2" t="inlineStr">
        <is>
          <t>테마파크</t>
        </is>
      </c>
      <c r="D127" s="2" t="inlineStr">
        <is>
          <t>테마파크</t>
        </is>
      </c>
      <c r="E127" s="2" t="inlineStr">
        <is>
          <t>여주</t>
        </is>
      </c>
      <c r="F127" s="2" t="inlineStr">
        <is>
          <t>루덴시아</t>
        </is>
      </c>
      <c r="G127" s="2" t="inlineStr">
        <is>
          <t>주말 대인입장권 루덴시아(~9/30)</t>
        </is>
      </c>
      <c r="H127" s="2" t="inlineStr">
        <is>
          <t>대인</t>
        </is>
      </c>
      <c r="I127" s="2" t="inlineStr">
        <is>
          <t>주말</t>
        </is>
      </c>
      <c r="J127" s="2" t="inlineStr">
        <is>
          <t>종일</t>
        </is>
      </c>
      <c r="K127" s="2" t="n">
        <v>27000</v>
      </c>
      <c r="L127" s="2" t="n">
        <v>18500</v>
      </c>
      <c r="M127" s="2" t="n">
        <v>31</v>
      </c>
      <c r="N127" s="2" t="n">
        <v>31.5</v>
      </c>
      <c r="O127" s="2" t="inlineStr">
        <is>
          <t>1</t>
        </is>
      </c>
      <c r="P127" s="2" t="inlineStr">
        <is>
          <t>날짜지정</t>
        </is>
      </c>
      <c r="Q127" s="2" t="inlineStr">
        <is>
          <t>2025-11-01</t>
        </is>
      </c>
      <c r="R127" s="2" t="inlineStr">
        <is>
          <t>날짜지정</t>
        </is>
      </c>
      <c r="S127" s="2" t="inlineStr">
        <is>
          <t>2026-09-30</t>
        </is>
      </c>
      <c r="T127" s="2" t="b">
        <v>0</v>
      </c>
    </row>
    <row r="128">
      <c r="A128" s="2" t="inlineStr">
        <is>
          <t>319024</t>
        </is>
      </c>
      <c r="B128" s="2" t="inlineStr">
        <is>
          <t>4013858</t>
        </is>
      </c>
      <c r="C128" s="2" t="inlineStr">
        <is>
          <t>테마파크</t>
        </is>
      </c>
      <c r="D128" s="2" t="inlineStr">
        <is>
          <t>테마파크</t>
        </is>
      </c>
      <c r="E128" s="2" t="inlineStr">
        <is>
          <t>여주</t>
        </is>
      </c>
      <c r="F128" s="2" t="inlineStr">
        <is>
          <t>루덴시아</t>
        </is>
      </c>
      <c r="G128" s="2" t="inlineStr">
        <is>
          <t>주말 소인입장권 루덴시아(~9/30)</t>
        </is>
      </c>
      <c r="H128" s="2" t="inlineStr">
        <is>
          <t>소인</t>
        </is>
      </c>
      <c r="I128" s="2" t="inlineStr">
        <is>
          <t>주말</t>
        </is>
      </c>
      <c r="J128" s="2" t="inlineStr">
        <is>
          <t>종일</t>
        </is>
      </c>
      <c r="K128" s="2" t="n">
        <v>17000</v>
      </c>
      <c r="L128" s="2" t="n">
        <v>11500</v>
      </c>
      <c r="M128" s="2" t="n">
        <v>32</v>
      </c>
      <c r="N128" s="2" t="n">
        <v>32.4</v>
      </c>
      <c r="O128" s="2" t="inlineStr">
        <is>
          <t>1</t>
        </is>
      </c>
      <c r="P128" s="2" t="inlineStr">
        <is>
          <t>날짜지정</t>
        </is>
      </c>
      <c r="Q128" s="2" t="inlineStr">
        <is>
          <t>2025-11-01</t>
        </is>
      </c>
      <c r="R128" s="2" t="inlineStr">
        <is>
          <t>날짜지정</t>
        </is>
      </c>
      <c r="S128" s="2" t="inlineStr">
        <is>
          <t>2026-09-30</t>
        </is>
      </c>
      <c r="T128" s="2" t="b">
        <v>0</v>
      </c>
    </row>
    <row r="129">
      <c r="A129" s="2" t="inlineStr">
        <is>
          <t>327284</t>
        </is>
      </c>
      <c r="B129" s="2" t="inlineStr">
        <is>
          <t>4222938</t>
        </is>
      </c>
      <c r="C129" s="2" t="inlineStr">
        <is>
          <t>테마파크</t>
        </is>
      </c>
      <c r="D129" s="2" t="inlineStr">
        <is>
          <t>테마파크</t>
        </is>
      </c>
      <c r="E129" s="2" t="inlineStr">
        <is>
          <t>진주</t>
        </is>
      </c>
      <c r="F129" s="2" t="inlineStr">
        <is>
          <t>타이거펀치 키즈랜드</t>
        </is>
      </c>
      <c r="G129" s="2" t="inlineStr">
        <is>
          <t>주중 3시간 대인 입장권 타이거펀치(~10/31)</t>
        </is>
      </c>
      <c r="H129" s="2" t="inlineStr">
        <is>
          <t>대인</t>
        </is>
      </c>
      <c r="I129" s="2" t="inlineStr">
        <is>
          <t>주중</t>
        </is>
      </c>
      <c r="J129" s="2" t="inlineStr">
        <is>
          <t>종일</t>
        </is>
      </c>
      <c r="K129" s="2" t="n">
        <v>7000</v>
      </c>
      <c r="L129" s="2" t="n">
        <v>5000</v>
      </c>
      <c r="M129" s="2" t="n">
        <v>29</v>
      </c>
      <c r="N129" s="2" t="n">
        <v>28.6</v>
      </c>
      <c r="O129" s="2" t="inlineStr">
        <is>
          <t>1</t>
        </is>
      </c>
      <c r="P129" s="2" t="inlineStr">
        <is>
          <t>날짜지정</t>
        </is>
      </c>
      <c r="Q129" s="2" t="inlineStr">
        <is>
          <t>2026-05-08</t>
        </is>
      </c>
      <c r="R129" s="2" t="inlineStr">
        <is>
          <t>날짜지정</t>
        </is>
      </c>
      <c r="S129" s="2" t="inlineStr">
        <is>
          <t>2026-10-31</t>
        </is>
      </c>
      <c r="T129" s="2" t="b">
        <v>1</v>
      </c>
    </row>
    <row r="130">
      <c r="A130" s="2" t="inlineStr">
        <is>
          <t>327284</t>
        </is>
      </c>
      <c r="B130" s="2" t="inlineStr">
        <is>
          <t>4222939</t>
        </is>
      </c>
      <c r="C130" s="2" t="inlineStr">
        <is>
          <t>테마파크</t>
        </is>
      </c>
      <c r="D130" s="2" t="inlineStr">
        <is>
          <t>테마파크</t>
        </is>
      </c>
      <c r="E130" s="2" t="inlineStr">
        <is>
          <t>진주</t>
        </is>
      </c>
      <c r="F130" s="2" t="inlineStr">
        <is>
          <t>타이거펀치 키즈랜드</t>
        </is>
      </c>
      <c r="G130" s="2" t="inlineStr">
        <is>
          <t>주중 3시간 소인 입장권 타이거펀치(~10/31)</t>
        </is>
      </c>
      <c r="H130" s="2" t="inlineStr">
        <is>
          <t>소인</t>
        </is>
      </c>
      <c r="I130" s="2" t="inlineStr">
        <is>
          <t>주중</t>
        </is>
      </c>
      <c r="J130" s="2" t="inlineStr">
        <is>
          <t>종일</t>
        </is>
      </c>
      <c r="K130" s="2" t="n">
        <v>23000</v>
      </c>
      <c r="L130" s="2" t="n">
        <v>16500</v>
      </c>
      <c r="M130" s="2" t="n">
        <v>28</v>
      </c>
      <c r="N130" s="2" t="n">
        <v>28.3</v>
      </c>
      <c r="O130" s="2" t="inlineStr">
        <is>
          <t>1</t>
        </is>
      </c>
      <c r="P130" s="2" t="inlineStr">
        <is>
          <t>날짜지정</t>
        </is>
      </c>
      <c r="Q130" s="2" t="inlineStr">
        <is>
          <t>2026-05-08</t>
        </is>
      </c>
      <c r="R130" s="2" t="inlineStr">
        <is>
          <t>날짜지정</t>
        </is>
      </c>
      <c r="S130" s="2" t="inlineStr">
        <is>
          <t>2026-10-31</t>
        </is>
      </c>
      <c r="T130" s="2" t="b">
        <v>0</v>
      </c>
    </row>
    <row r="131">
      <c r="A131" s="2" t="inlineStr">
        <is>
          <t>327284</t>
        </is>
      </c>
      <c r="B131" s="2" t="inlineStr">
        <is>
          <t>4222940</t>
        </is>
      </c>
      <c r="C131" s="2" t="inlineStr">
        <is>
          <t>테마파크</t>
        </is>
      </c>
      <c r="D131" s="2" t="inlineStr">
        <is>
          <t>테마파크</t>
        </is>
      </c>
      <c r="E131" s="2" t="inlineStr">
        <is>
          <t>진주</t>
        </is>
      </c>
      <c r="F131" s="2" t="inlineStr">
        <is>
          <t>타이거펀치 키즈랜드</t>
        </is>
      </c>
      <c r="G131" s="2" t="inlineStr">
        <is>
          <t>주말 2시간 대인 입장권 타이거펀치(~10/31)</t>
        </is>
      </c>
      <c r="H131" s="2" t="inlineStr">
        <is>
          <t>대인</t>
        </is>
      </c>
      <c r="I131" s="2" t="inlineStr">
        <is>
          <t>주말</t>
        </is>
      </c>
      <c r="J131" s="2" t="inlineStr">
        <is>
          <t>종일</t>
        </is>
      </c>
      <c r="K131" s="2" t="n">
        <v>7000</v>
      </c>
      <c r="L131" s="2" t="n">
        <v>5500</v>
      </c>
      <c r="M131" s="2" t="n">
        <v>21</v>
      </c>
      <c r="N131" s="2" t="n">
        <v>21.4</v>
      </c>
      <c r="O131" s="2" t="inlineStr">
        <is>
          <t>1</t>
        </is>
      </c>
      <c r="P131" s="2" t="inlineStr">
        <is>
          <t>날짜지정</t>
        </is>
      </c>
      <c r="Q131" s="2" t="inlineStr">
        <is>
          <t>2026-05-08</t>
        </is>
      </c>
      <c r="R131" s="2" t="inlineStr">
        <is>
          <t>날짜지정</t>
        </is>
      </c>
      <c r="S131" s="2" t="inlineStr">
        <is>
          <t>2026-10-31</t>
        </is>
      </c>
      <c r="T131" s="2" t="b">
        <v>0</v>
      </c>
    </row>
    <row r="132">
      <c r="A132" s="2" t="inlineStr">
        <is>
          <t>327284</t>
        </is>
      </c>
      <c r="B132" s="2" t="inlineStr">
        <is>
          <t>4222941</t>
        </is>
      </c>
      <c r="C132" s="2" t="inlineStr">
        <is>
          <t>테마파크</t>
        </is>
      </c>
      <c r="D132" s="2" t="inlineStr">
        <is>
          <t>테마파크</t>
        </is>
      </c>
      <c r="E132" s="2" t="inlineStr">
        <is>
          <t>진주</t>
        </is>
      </c>
      <c r="F132" s="2" t="inlineStr">
        <is>
          <t>타이거펀치 키즈랜드</t>
        </is>
      </c>
      <c r="G132" s="2" t="inlineStr">
        <is>
          <t>주말 2시간 소인 입장권 타이거펀치(~10/31)</t>
        </is>
      </c>
      <c r="H132" s="2" t="inlineStr">
        <is>
          <t>소인</t>
        </is>
      </c>
      <c r="I132" s="2" t="inlineStr">
        <is>
          <t>주말</t>
        </is>
      </c>
      <c r="J132" s="2" t="inlineStr">
        <is>
          <t>종일</t>
        </is>
      </c>
      <c r="K132" s="2" t="n">
        <v>25000</v>
      </c>
      <c r="L132" s="2" t="n">
        <v>20000</v>
      </c>
      <c r="M132" s="2" t="n">
        <v>20</v>
      </c>
      <c r="N132" s="2" t="n">
        <v>20</v>
      </c>
      <c r="O132" s="2" t="inlineStr">
        <is>
          <t>1</t>
        </is>
      </c>
      <c r="P132" s="2" t="inlineStr">
        <is>
          <t>날짜지정</t>
        </is>
      </c>
      <c r="Q132" s="2" t="inlineStr">
        <is>
          <t>2026-05-08</t>
        </is>
      </c>
      <c r="R132" s="2" t="inlineStr">
        <is>
          <t>날짜지정</t>
        </is>
      </c>
      <c r="S132" s="2" t="inlineStr">
        <is>
          <t>2026-10-31</t>
        </is>
      </c>
      <c r="T132" s="2" t="b">
        <v>0</v>
      </c>
    </row>
    <row r="133">
      <c r="A133" s="2" t="inlineStr">
        <is>
          <t>328862</t>
        </is>
      </c>
      <c r="B133" s="2" t="inlineStr">
        <is>
          <t>4264323</t>
        </is>
      </c>
      <c r="C133" s="2" t="inlineStr">
        <is>
          <t>테마파크</t>
        </is>
      </c>
      <c r="D133" s="2" t="inlineStr">
        <is>
          <t>테마파크</t>
        </is>
      </c>
      <c r="E133" s="2" t="inlineStr">
        <is>
          <t>울산</t>
        </is>
      </c>
      <c r="F133" s="2" t="inlineStr">
        <is>
          <t>캐니언파크</t>
        </is>
      </c>
      <c r="G133" s="2" t="inlineStr">
        <is>
          <t>평일/주말 유아입장권+실내놀이동산PKG 캐니언파크(~12/31)</t>
        </is>
      </c>
      <c r="H133" s="2" t="inlineStr">
        <is>
          <t>소인</t>
        </is>
      </c>
      <c r="I133" s="2" t="inlineStr">
        <is>
          <t>주중+주말</t>
        </is>
      </c>
      <c r="J133" s="2" t="inlineStr">
        <is>
          <t>종일</t>
        </is>
      </c>
      <c r="K133" s="2" t="n">
        <v>20000</v>
      </c>
      <c r="L133" s="2" t="n">
        <v>10000</v>
      </c>
      <c r="M133" s="2" t="n">
        <v>50</v>
      </c>
      <c r="N133" s="2" t="n">
        <v>50</v>
      </c>
      <c r="O133" s="2" t="inlineStr">
        <is>
          <t>1</t>
        </is>
      </c>
      <c r="P133" s="2" t="inlineStr">
        <is>
          <t>구매일</t>
        </is>
      </c>
      <c r="Q133" s="2" t="inlineStr">
        <is>
          <t>0</t>
        </is>
      </c>
      <c r="R133" s="2" t="inlineStr">
        <is>
          <t>날짜지정</t>
        </is>
      </c>
      <c r="S133" s="2" t="inlineStr">
        <is>
          <t>2026-12-31</t>
        </is>
      </c>
      <c r="T133" s="2" t="b">
        <v>1</v>
      </c>
    </row>
    <row r="134">
      <c r="A134" s="2" t="inlineStr">
        <is>
          <t>328862</t>
        </is>
      </c>
      <c r="B134" s="2" t="inlineStr">
        <is>
          <t>4264326</t>
        </is>
      </c>
      <c r="C134" s="2" t="inlineStr">
        <is>
          <t>테마파크</t>
        </is>
      </c>
      <c r="D134" s="2" t="inlineStr">
        <is>
          <t>테마파크</t>
        </is>
      </c>
      <c r="E134" s="2" t="inlineStr">
        <is>
          <t>울산</t>
        </is>
      </c>
      <c r="F134" s="2" t="inlineStr">
        <is>
          <t>캐니언파크</t>
        </is>
      </c>
      <c r="G134" s="2" t="inlineStr">
        <is>
          <t>평일 입장권 캐니언파크(~12/31)</t>
        </is>
      </c>
      <c r="H134" s="2" t="inlineStr">
        <is>
          <t>대소공통</t>
        </is>
      </c>
      <c r="I134" s="2" t="inlineStr">
        <is>
          <t>주중</t>
        </is>
      </c>
      <c r="J134" s="2" t="inlineStr">
        <is>
          <t>종일</t>
        </is>
      </c>
      <c r="K134" s="2" t="n">
        <v>22000</v>
      </c>
      <c r="L134" s="2" t="n">
        <v>11900</v>
      </c>
      <c r="M134" s="2" t="n">
        <v>46</v>
      </c>
      <c r="N134" s="2" t="n">
        <v>45.9</v>
      </c>
      <c r="O134" s="2" t="inlineStr">
        <is>
          <t>1</t>
        </is>
      </c>
      <c r="P134" s="2" t="inlineStr">
        <is>
          <t>구매일</t>
        </is>
      </c>
      <c r="Q134" s="2" t="inlineStr">
        <is>
          <t>0</t>
        </is>
      </c>
      <c r="R134" s="2" t="inlineStr">
        <is>
          <t>날짜지정</t>
        </is>
      </c>
      <c r="S134" s="2" t="inlineStr">
        <is>
          <t>2026-12-31</t>
        </is>
      </c>
      <c r="T134" s="2" t="b">
        <v>0</v>
      </c>
    </row>
    <row r="135">
      <c r="A135" s="2" t="inlineStr">
        <is>
          <t>328862</t>
        </is>
      </c>
      <c r="B135" s="2" t="inlineStr">
        <is>
          <t>4264324</t>
        </is>
      </c>
      <c r="C135" s="2" t="inlineStr">
        <is>
          <t>테마파크</t>
        </is>
      </c>
      <c r="D135" s="2" t="inlineStr">
        <is>
          <t>테마파크</t>
        </is>
      </c>
      <c r="E135" s="2" t="inlineStr">
        <is>
          <t>울산</t>
        </is>
      </c>
      <c r="F135" s="2" t="inlineStr">
        <is>
          <t>캐니언파크</t>
        </is>
      </c>
      <c r="G135" s="2" t="inlineStr">
        <is>
          <t>주말/공휴일 입장권 캐니언파크(~12/31)</t>
        </is>
      </c>
      <c r="H135" s="2" t="inlineStr">
        <is>
          <t>대소공통</t>
        </is>
      </c>
      <c r="I135" s="2" t="inlineStr">
        <is>
          <t>주중+주말</t>
        </is>
      </c>
      <c r="J135" s="2" t="inlineStr">
        <is>
          <t>종일</t>
        </is>
      </c>
      <c r="K135" s="2" t="n">
        <v>25000</v>
      </c>
      <c r="L135" s="2" t="n">
        <v>13900</v>
      </c>
      <c r="M135" s="2" t="n">
        <v>44</v>
      </c>
      <c r="N135" s="2" t="n">
        <v>44.4</v>
      </c>
      <c r="O135" s="2" t="inlineStr">
        <is>
          <t>1</t>
        </is>
      </c>
      <c r="P135" s="2" t="inlineStr">
        <is>
          <t>구매일</t>
        </is>
      </c>
      <c r="Q135" s="2" t="inlineStr">
        <is>
          <t>0</t>
        </is>
      </c>
      <c r="R135" s="2" t="inlineStr">
        <is>
          <t>날짜지정</t>
        </is>
      </c>
      <c r="S135" s="2" t="inlineStr">
        <is>
          <t>2026-12-31</t>
        </is>
      </c>
      <c r="T135" s="2" t="b">
        <v>0</v>
      </c>
    </row>
    <row r="136">
      <c r="A136" s="2" t="inlineStr">
        <is>
          <t>328862</t>
        </is>
      </c>
      <c r="B136" s="2" t="inlineStr">
        <is>
          <t>4264327</t>
        </is>
      </c>
      <c r="C136" s="2" t="inlineStr">
        <is>
          <t>테마파크</t>
        </is>
      </c>
      <c r="D136" s="2" t="inlineStr">
        <is>
          <t>테마파크</t>
        </is>
      </c>
      <c r="E136" s="2" t="inlineStr">
        <is>
          <t>울산</t>
        </is>
      </c>
      <c r="F136" s="2" t="inlineStr">
        <is>
          <t>캐니언파크</t>
        </is>
      </c>
      <c r="G136" s="2" t="inlineStr">
        <is>
          <t>평일 입장권+실내놀이동산PKG 캐니언파크(~12/31)</t>
        </is>
      </c>
      <c r="H136" s="2" t="inlineStr">
        <is>
          <t>대소공통</t>
        </is>
      </c>
      <c r="I136" s="2" t="inlineStr">
        <is>
          <t>주중</t>
        </is>
      </c>
      <c r="J136" s="2" t="inlineStr">
        <is>
          <t>종일</t>
        </is>
      </c>
      <c r="K136" s="2" t="n">
        <v>25000</v>
      </c>
      <c r="L136" s="2" t="n">
        <v>13900</v>
      </c>
      <c r="M136" s="2" t="n">
        <v>44</v>
      </c>
      <c r="N136" s="2" t="n">
        <v>44.4</v>
      </c>
      <c r="O136" s="2" t="inlineStr">
        <is>
          <t>1</t>
        </is>
      </c>
      <c r="P136" s="2" t="inlineStr">
        <is>
          <t>구매일</t>
        </is>
      </c>
      <c r="Q136" s="2" t="inlineStr">
        <is>
          <t>0</t>
        </is>
      </c>
      <c r="R136" s="2" t="inlineStr">
        <is>
          <t>날짜지정</t>
        </is>
      </c>
      <c r="S136" s="2" t="inlineStr">
        <is>
          <t>2026-12-31</t>
        </is>
      </c>
      <c r="T136" s="2" t="b">
        <v>0</v>
      </c>
    </row>
    <row r="137">
      <c r="A137" s="2" t="inlineStr">
        <is>
          <t>328862</t>
        </is>
      </c>
      <c r="B137" s="2" t="inlineStr">
        <is>
          <t>4264325</t>
        </is>
      </c>
      <c r="C137" s="2" t="inlineStr">
        <is>
          <t>테마파크</t>
        </is>
      </c>
      <c r="D137" s="2" t="inlineStr">
        <is>
          <t>테마파크</t>
        </is>
      </c>
      <c r="E137" s="2" t="inlineStr">
        <is>
          <t>울산</t>
        </is>
      </c>
      <c r="F137" s="2" t="inlineStr">
        <is>
          <t>캐니언파크</t>
        </is>
      </c>
      <c r="G137" s="2" t="inlineStr">
        <is>
          <t>주말/공휴일 입장권+실내놀이동산PKG 캐니언파크(~12/31)</t>
        </is>
      </c>
      <c r="H137" s="2" t="inlineStr">
        <is>
          <t>대소공통</t>
        </is>
      </c>
      <c r="I137" s="2" t="inlineStr">
        <is>
          <t>주중+주말</t>
        </is>
      </c>
      <c r="J137" s="2" t="inlineStr">
        <is>
          <t>종일</t>
        </is>
      </c>
      <c r="K137" s="2" t="n">
        <v>25000</v>
      </c>
      <c r="L137" s="2" t="n">
        <v>15900</v>
      </c>
      <c r="M137" s="2" t="n">
        <v>36</v>
      </c>
      <c r="N137" s="2" t="n">
        <v>36.4</v>
      </c>
      <c r="O137" s="2" t="inlineStr">
        <is>
          <t>1</t>
        </is>
      </c>
      <c r="P137" s="2" t="inlineStr">
        <is>
          <t>구매일</t>
        </is>
      </c>
      <c r="Q137" s="2" t="inlineStr">
        <is>
          <t>0</t>
        </is>
      </c>
      <c r="R137" s="2" t="inlineStr">
        <is>
          <t>날짜지정</t>
        </is>
      </c>
      <c r="S137" s="2" t="inlineStr">
        <is>
          <t>2026-12-31</t>
        </is>
      </c>
      <c r="T137" s="2" t="b">
        <v>0</v>
      </c>
    </row>
    <row r="138">
      <c r="A138" s="2" t="inlineStr">
        <is>
          <t>325394</t>
        </is>
      </c>
      <c r="B138" s="2" t="inlineStr">
        <is>
          <t>4161278</t>
        </is>
      </c>
      <c r="C138" s="2" t="inlineStr">
        <is>
          <t>테마파크</t>
        </is>
      </c>
      <c r="D138" s="2" t="inlineStr">
        <is>
          <t>테마파크</t>
        </is>
      </c>
      <c r="E138" s="2" t="inlineStr">
        <is>
          <t>경주</t>
        </is>
      </c>
      <c r="F138" s="2" t="inlineStr">
        <is>
          <t>원더스페이스 보문점</t>
        </is>
      </c>
      <c r="G138" s="2" t="inlineStr">
        <is>
          <t>통합이용권A 원더스페이스(~10/31)</t>
        </is>
      </c>
      <c r="H138" s="2" t="inlineStr">
        <is>
          <t>대소공통</t>
        </is>
      </c>
      <c r="I138" s="2" t="inlineStr">
        <is>
          <t>주중+주말</t>
        </is>
      </c>
      <c r="J138" s="2" t="inlineStr">
        <is>
          <t>종일</t>
        </is>
      </c>
      <c r="K138" s="2" t="n">
        <v>50000</v>
      </c>
      <c r="L138" s="2" t="n">
        <v>23000</v>
      </c>
      <c r="M138" s="2" t="n">
        <v>54</v>
      </c>
      <c r="N138" s="2" t="n">
        <v>54</v>
      </c>
      <c r="O138" s="2" t="inlineStr">
        <is>
          <t>1</t>
        </is>
      </c>
      <c r="P138" s="2" t="inlineStr">
        <is>
          <t>구매일</t>
        </is>
      </c>
      <c r="Q138" s="2" t="inlineStr">
        <is>
          <t>0</t>
        </is>
      </c>
      <c r="R138" s="2" t="inlineStr">
        <is>
          <t>날짜지정</t>
        </is>
      </c>
      <c r="S138" s="2" t="inlineStr">
        <is>
          <t>2026-10-31</t>
        </is>
      </c>
      <c r="T138" s="2" t="b">
        <v>1</v>
      </c>
    </row>
    <row r="139">
      <c r="A139" s="2" t="inlineStr">
        <is>
          <t>326906</t>
        </is>
      </c>
      <c r="B139" s="2" t="inlineStr">
        <is>
          <t>4208422</t>
        </is>
      </c>
      <c r="C139" s="2" t="inlineStr">
        <is>
          <t>테마파크</t>
        </is>
      </c>
      <c r="D139" s="2" t="inlineStr">
        <is>
          <t>테마파크</t>
        </is>
      </c>
      <c r="E139" s="2" t="inlineStr">
        <is>
          <t>청도</t>
        </is>
      </c>
      <c r="F139" s="2" t="inlineStr">
        <is>
          <t>프로방스</t>
        </is>
      </c>
      <c r="G139" s="2" t="inlineStr">
        <is>
          <t>입장권 프로방스(~9/30)</t>
        </is>
      </c>
      <c r="H139" s="2" t="inlineStr">
        <is>
          <t>대소공통</t>
        </is>
      </c>
      <c r="I139" s="2" t="inlineStr">
        <is>
          <t>주중+주말</t>
        </is>
      </c>
      <c r="J139" s="2" t="inlineStr">
        <is>
          <t>종일</t>
        </is>
      </c>
      <c r="K139" s="2" t="n">
        <v>14900</v>
      </c>
      <c r="L139" s="2" t="n">
        <v>8900</v>
      </c>
      <c r="M139" s="2" t="n">
        <v>40</v>
      </c>
      <c r="N139" s="2" t="n">
        <v>40.3</v>
      </c>
      <c r="O139" s="2" t="inlineStr">
        <is>
          <t>1</t>
        </is>
      </c>
      <c r="P139" s="2" t="inlineStr">
        <is>
          <t>구매일</t>
        </is>
      </c>
      <c r="Q139" s="2" t="inlineStr">
        <is>
          <t>0</t>
        </is>
      </c>
      <c r="R139" s="2" t="inlineStr">
        <is>
          <t>날짜지정</t>
        </is>
      </c>
      <c r="S139" s="2" t="inlineStr">
        <is>
          <t>2026-09-30</t>
        </is>
      </c>
      <c r="T139" s="2" t="b">
        <v>1</v>
      </c>
    </row>
    <row r="140">
      <c r="A140" s="2" t="inlineStr">
        <is>
          <t>322370</t>
        </is>
      </c>
      <c r="B140" s="2" t="inlineStr">
        <is>
          <t>4077596</t>
        </is>
      </c>
      <c r="C140" s="2" t="inlineStr">
        <is>
          <t>테마파크</t>
        </is>
      </c>
      <c r="D140" s="2" t="inlineStr">
        <is>
          <t>테마파크</t>
        </is>
      </c>
      <c r="E140" s="2" t="inlineStr">
        <is>
          <t>대구</t>
        </is>
      </c>
      <c r="F140" s="2" t="inlineStr">
        <is>
          <t>네이처파크</t>
        </is>
      </c>
      <c r="G140" s="2" t="inlineStr">
        <is>
          <t>1인 종일권 네이처파크(~9/30)</t>
        </is>
      </c>
      <c r="H140" s="2" t="inlineStr">
        <is>
          <t>대소공통</t>
        </is>
      </c>
      <c r="I140" s="2" t="inlineStr">
        <is>
          <t>주중+주말</t>
        </is>
      </c>
      <c r="J140" s="2" t="inlineStr">
        <is>
          <t>종일</t>
        </is>
      </c>
      <c r="K140" s="2" t="n">
        <v>20000</v>
      </c>
      <c r="L140" s="2" t="n">
        <v>10000</v>
      </c>
      <c r="M140" s="2" t="n">
        <v>50</v>
      </c>
      <c r="N140" s="2" t="n">
        <v>50</v>
      </c>
      <c r="O140" s="2" t="inlineStr">
        <is>
          <t>1</t>
        </is>
      </c>
      <c r="P140" s="2" t="inlineStr">
        <is>
          <t>구매일</t>
        </is>
      </c>
      <c r="Q140" s="2" t="inlineStr">
        <is>
          <t>0</t>
        </is>
      </c>
      <c r="R140" s="2" t="inlineStr">
        <is>
          <t>날짜지정</t>
        </is>
      </c>
      <c r="S140" s="2" t="inlineStr">
        <is>
          <t>2026-09-30</t>
        </is>
      </c>
      <c r="T140" s="2" t="b">
        <v>1</v>
      </c>
    </row>
    <row r="141">
      <c r="A141" s="2" t="inlineStr">
        <is>
          <t>322370</t>
        </is>
      </c>
      <c r="B141" s="2" t="inlineStr">
        <is>
          <t>4077597</t>
        </is>
      </c>
      <c r="C141" s="2" t="inlineStr">
        <is>
          <t>테마파크</t>
        </is>
      </c>
      <c r="D141" s="2" t="inlineStr">
        <is>
          <t>테마파크</t>
        </is>
      </c>
      <c r="E141" s="2" t="inlineStr">
        <is>
          <t>대구</t>
        </is>
      </c>
      <c r="F141" s="2" t="inlineStr">
        <is>
          <t>네이처파크</t>
        </is>
      </c>
      <c r="G141" s="2" t="inlineStr">
        <is>
          <t>1인 종일권+교감키트 네이처파크(~9/30)</t>
        </is>
      </c>
      <c r="H141" s="2" t="inlineStr">
        <is>
          <t>대소공통</t>
        </is>
      </c>
      <c r="I141" s="2" t="inlineStr">
        <is>
          <t>주중+주말</t>
        </is>
      </c>
      <c r="J141" s="2" t="inlineStr">
        <is>
          <t>종일</t>
        </is>
      </c>
      <c r="K141" s="2" t="n">
        <v>25000</v>
      </c>
      <c r="L141" s="2" t="n">
        <v>13500</v>
      </c>
      <c r="M141" s="2" t="n">
        <v>46</v>
      </c>
      <c r="N141" s="2" t="n">
        <v>46</v>
      </c>
      <c r="O141" s="2" t="inlineStr">
        <is>
          <t>1</t>
        </is>
      </c>
      <c r="P141" s="2" t="inlineStr">
        <is>
          <t>구매일</t>
        </is>
      </c>
      <c r="Q141" s="2" t="inlineStr">
        <is>
          <t>0</t>
        </is>
      </c>
      <c r="R141" s="2" t="inlineStr">
        <is>
          <t>날짜지정</t>
        </is>
      </c>
      <c r="S141" s="2" t="inlineStr">
        <is>
          <t>2026-09-30</t>
        </is>
      </c>
      <c r="T141" s="2" t="b">
        <v>0</v>
      </c>
    </row>
    <row r="142">
      <c r="A142" s="2" t="inlineStr">
        <is>
          <t>325898</t>
        </is>
      </c>
      <c r="B142" s="2" t="inlineStr">
        <is>
          <t>4177697</t>
        </is>
      </c>
      <c r="C142" s="2" t="inlineStr">
        <is>
          <t>테마파크</t>
        </is>
      </c>
      <c r="D142" s="2" t="inlineStr">
        <is>
          <t>테마파크</t>
        </is>
      </c>
      <c r="E142" s="2" t="inlineStr">
        <is>
          <t>경주</t>
        </is>
      </c>
      <c r="F142" s="2" t="inlineStr">
        <is>
          <t>엑스포대공원</t>
        </is>
      </c>
      <c r="G142" s="2" t="inlineStr">
        <is>
          <t>소인 이용권 엑스포 대공원(~10/31)</t>
        </is>
      </c>
      <c r="H142" s="2" t="inlineStr">
        <is>
          <t>소인</t>
        </is>
      </c>
      <c r="I142" s="2" t="inlineStr">
        <is>
          <t>주중+주말</t>
        </is>
      </c>
      <c r="J142" s="2" t="inlineStr">
        <is>
          <t>종일</t>
        </is>
      </c>
      <c r="K142" s="2" t="n">
        <v>14900</v>
      </c>
      <c r="L142" s="2" t="n">
        <v>8100</v>
      </c>
      <c r="M142" s="2" t="n">
        <v>46</v>
      </c>
      <c r="N142" s="2" t="n">
        <v>45.6</v>
      </c>
      <c r="O142" s="2" t="inlineStr">
        <is>
          <t>1</t>
        </is>
      </c>
      <c r="P142" s="2" t="inlineStr">
        <is>
          <t>구매일</t>
        </is>
      </c>
      <c r="Q142" s="2" t="inlineStr">
        <is>
          <t>0</t>
        </is>
      </c>
      <c r="R142" s="2" t="inlineStr">
        <is>
          <t>날짜지정</t>
        </is>
      </c>
      <c r="S142" s="2" t="inlineStr">
        <is>
          <t>2026-10-31</t>
        </is>
      </c>
      <c r="T142" s="2" t="b">
        <v>1</v>
      </c>
    </row>
    <row r="143">
      <c r="A143" s="2" t="inlineStr">
        <is>
          <t>325898</t>
        </is>
      </c>
      <c r="B143" s="2" t="inlineStr">
        <is>
          <t>4177696</t>
        </is>
      </c>
      <c r="C143" s="2" t="inlineStr">
        <is>
          <t>테마파크</t>
        </is>
      </c>
      <c r="D143" s="2" t="inlineStr">
        <is>
          <t>테마파크</t>
        </is>
      </c>
      <c r="E143" s="2" t="inlineStr">
        <is>
          <t>경주</t>
        </is>
      </c>
      <c r="F143" s="2" t="inlineStr">
        <is>
          <t>엑스포대공원</t>
        </is>
      </c>
      <c r="G143" s="2" t="inlineStr">
        <is>
          <t>대인 이용권 엑스포 대공원(~10/31)</t>
        </is>
      </c>
      <c r="H143" s="2" t="inlineStr">
        <is>
          <t>대인</t>
        </is>
      </c>
      <c r="I143" s="2" t="inlineStr">
        <is>
          <t>주중+주말</t>
        </is>
      </c>
      <c r="J143" s="2" t="inlineStr">
        <is>
          <t>종일</t>
        </is>
      </c>
      <c r="K143" s="2" t="n">
        <v>14900</v>
      </c>
      <c r="L143" s="2" t="n">
        <v>8500</v>
      </c>
      <c r="M143" s="2" t="n">
        <v>43</v>
      </c>
      <c r="N143" s="2" t="n">
        <v>43</v>
      </c>
      <c r="O143" s="2" t="inlineStr">
        <is>
          <t>1</t>
        </is>
      </c>
      <c r="P143" s="2" t="inlineStr">
        <is>
          <t>구매일</t>
        </is>
      </c>
      <c r="Q143" s="2" t="inlineStr">
        <is>
          <t>0</t>
        </is>
      </c>
      <c r="R143" s="2" t="inlineStr">
        <is>
          <t>날짜지정</t>
        </is>
      </c>
      <c r="S143" s="2" t="inlineStr">
        <is>
          <t>2026-10-31</t>
        </is>
      </c>
      <c r="T143" s="2" t="b">
        <v>0</v>
      </c>
    </row>
    <row r="144">
      <c r="A144" s="2" t="inlineStr">
        <is>
          <t>325142</t>
        </is>
      </c>
      <c r="B144" s="2" t="inlineStr">
        <is>
          <t>4156276</t>
        </is>
      </c>
      <c r="C144" s="2" t="inlineStr">
        <is>
          <t>워터파크</t>
        </is>
      </c>
      <c r="D144" s="2" t="inlineStr">
        <is>
          <t>워터파크</t>
        </is>
      </c>
      <c r="E144" s="2" t="inlineStr">
        <is>
          <t>하남/고양/안성</t>
        </is>
      </c>
      <c r="F144" s="2" t="inlineStr">
        <is>
          <t>아쿠아필드</t>
        </is>
      </c>
      <c r="G144" s="2" t="inlineStr">
        <is>
          <t>워터파크 6시간 이용권 아쿠아필드(3개 지점 중 택1)(8/18~10/26)</t>
        </is>
      </c>
      <c r="H144" s="2" t="inlineStr">
        <is>
          <t>대소공통</t>
        </is>
      </c>
      <c r="I144" s="2" t="inlineStr">
        <is>
          <t>주중+주말</t>
        </is>
      </c>
      <c r="J144" s="2" t="inlineStr"/>
      <c r="K144" s="2" t="n">
        <v>58000</v>
      </c>
      <c r="L144" s="2" t="n">
        <v>32500</v>
      </c>
      <c r="M144" s="2" t="n">
        <v>44</v>
      </c>
      <c r="N144" s="2" t="n">
        <v>44</v>
      </c>
      <c r="O144" s="2" t="inlineStr">
        <is>
          <t>1</t>
        </is>
      </c>
      <c r="P144" s="2" t="inlineStr">
        <is>
          <t>날짜지정</t>
        </is>
      </c>
      <c r="Q144" s="2" t="inlineStr">
        <is>
          <t>2026-08-18</t>
        </is>
      </c>
      <c r="R144" s="2" t="inlineStr">
        <is>
          <t>날짜지정</t>
        </is>
      </c>
      <c r="S144" s="2" t="inlineStr">
        <is>
          <t>2026-10-26</t>
        </is>
      </c>
      <c r="T144" s="2" t="b">
        <v>1</v>
      </c>
    </row>
    <row r="145">
      <c r="A145" s="2" t="inlineStr">
        <is>
          <t>325142</t>
        </is>
      </c>
      <c r="B145" s="2" t="inlineStr">
        <is>
          <t>4156277</t>
        </is>
      </c>
      <c r="C145" s="2" t="inlineStr">
        <is>
          <t>워터파크</t>
        </is>
      </c>
      <c r="D145" s="2" t="inlineStr">
        <is>
          <t>워터파크</t>
        </is>
      </c>
      <c r="E145" s="2" t="inlineStr">
        <is>
          <t>하남/고양/안성</t>
        </is>
      </c>
      <c r="F145" s="2" t="inlineStr">
        <is>
          <t>아쿠아필드</t>
        </is>
      </c>
      <c r="G145" s="2" t="inlineStr">
        <is>
          <t>찜질스파 6시간 이용권 아쿠아필드(3개 지점 중 택1)(8/18~10/26)</t>
        </is>
      </c>
      <c r="H145" s="2" t="inlineStr">
        <is>
          <t>대소공통</t>
        </is>
      </c>
      <c r="I145" s="2" t="inlineStr">
        <is>
          <t>주중+주말</t>
        </is>
      </c>
      <c r="J145" s="2" t="inlineStr"/>
      <c r="K145" s="2" t="n">
        <v>26000</v>
      </c>
      <c r="L145" s="2" t="n">
        <v>19200</v>
      </c>
      <c r="M145" s="2" t="n">
        <v>26</v>
      </c>
      <c r="N145" s="2" t="n">
        <v>26.2</v>
      </c>
      <c r="O145" s="2" t="inlineStr">
        <is>
          <t>1</t>
        </is>
      </c>
      <c r="P145" s="2" t="inlineStr">
        <is>
          <t>날짜지정</t>
        </is>
      </c>
      <c r="Q145" s="2" t="inlineStr">
        <is>
          <t>2026-08-18</t>
        </is>
      </c>
      <c r="R145" s="2" t="inlineStr">
        <is>
          <t>날짜지정</t>
        </is>
      </c>
      <c r="S145" s="2" t="inlineStr">
        <is>
          <t>2026-10-26</t>
        </is>
      </c>
      <c r="T145" s="2" t="b">
        <v>0</v>
      </c>
    </row>
    <row r="146">
      <c r="A146" s="2" t="inlineStr">
        <is>
          <t>325142</t>
        </is>
      </c>
      <c r="B146" s="2" t="inlineStr">
        <is>
          <t>4156278</t>
        </is>
      </c>
      <c r="C146" s="2" t="inlineStr">
        <is>
          <t>워터파크</t>
        </is>
      </c>
      <c r="D146" s="2" t="inlineStr">
        <is>
          <t>워터파크</t>
        </is>
      </c>
      <c r="E146" s="2" t="inlineStr">
        <is>
          <t>하남/고양/안성</t>
        </is>
      </c>
      <c r="F146" s="2" t="inlineStr">
        <is>
          <t>아쿠아필드</t>
        </is>
      </c>
      <c r="G146" s="2" t="inlineStr">
        <is>
          <t>멀티패스(워터파크+찜질스파) 9시간 이용권 아쿠아필드(3개 지점 중 택1)(8/18~10/26)</t>
        </is>
      </c>
      <c r="H146" s="2" t="inlineStr">
        <is>
          <t>대소공통</t>
        </is>
      </c>
      <c r="I146" s="2" t="inlineStr">
        <is>
          <t>주중+주말</t>
        </is>
      </c>
      <c r="J146" s="2" t="inlineStr"/>
      <c r="K146" s="2" t="n">
        <v>68000</v>
      </c>
      <c r="L146" s="2" t="n">
        <v>38000</v>
      </c>
      <c r="M146" s="2" t="n">
        <v>44</v>
      </c>
      <c r="N146" s="2" t="n">
        <v>44.1</v>
      </c>
      <c r="O146" s="2" t="inlineStr">
        <is>
          <t>1</t>
        </is>
      </c>
      <c r="P146" s="2" t="inlineStr">
        <is>
          <t>날짜지정</t>
        </is>
      </c>
      <c r="Q146" s="2" t="inlineStr">
        <is>
          <t>2026-08-18</t>
        </is>
      </c>
      <c r="R146" s="2" t="inlineStr">
        <is>
          <t>날짜지정</t>
        </is>
      </c>
      <c r="S146" s="2" t="inlineStr">
        <is>
          <t>2026-10-26</t>
        </is>
      </c>
      <c r="T146" s="2" t="b">
        <v>0</v>
      </c>
    </row>
    <row r="147">
      <c r="A147" s="2" t="inlineStr">
        <is>
          <t>328355</t>
        </is>
      </c>
      <c r="B147" s="2" t="inlineStr">
        <is>
          <t>4249560</t>
        </is>
      </c>
      <c r="C147" s="2" t="inlineStr">
        <is>
          <t>워터파크</t>
        </is>
      </c>
      <c r="D147" s="2" t="inlineStr">
        <is>
          <t>워터파크</t>
        </is>
      </c>
      <c r="E147" s="2" t="inlineStr">
        <is>
          <t>여주</t>
        </is>
      </c>
      <c r="F147" s="2" t="inlineStr">
        <is>
          <t>썬밸리 워터파크</t>
        </is>
      </c>
      <c r="G147" s="2" t="inlineStr">
        <is>
          <t>비수기 대인종일권 썬밸리(8/24~9/30)</t>
        </is>
      </c>
      <c r="H147" s="2" t="inlineStr">
        <is>
          <t>대인</t>
        </is>
      </c>
      <c r="I147" s="2" t="inlineStr">
        <is>
          <t>주중+주말</t>
        </is>
      </c>
      <c r="J147" s="2" t="inlineStr">
        <is>
          <t>종일</t>
        </is>
      </c>
      <c r="K147" s="2" t="n">
        <v>38000</v>
      </c>
      <c r="L147" s="2" t="n">
        <v>20700</v>
      </c>
      <c r="M147" s="2" t="n">
        <v>46</v>
      </c>
      <c r="N147" s="2" t="n">
        <v>45.5</v>
      </c>
      <c r="O147" s="2" t="inlineStr">
        <is>
          <t>1</t>
        </is>
      </c>
      <c r="P147" s="2" t="inlineStr">
        <is>
          <t>날짜지정</t>
        </is>
      </c>
      <c r="Q147" s="2" t="inlineStr">
        <is>
          <t>2026-08-24</t>
        </is>
      </c>
      <c r="R147" s="2" t="inlineStr">
        <is>
          <t>날짜지정</t>
        </is>
      </c>
      <c r="S147" s="2" t="inlineStr">
        <is>
          <t>2026-09-30</t>
        </is>
      </c>
      <c r="T147" s="2" t="b">
        <v>1</v>
      </c>
    </row>
    <row r="148">
      <c r="A148" s="2" t="inlineStr">
        <is>
          <t>328355</t>
        </is>
      </c>
      <c r="B148" s="2" t="inlineStr">
        <is>
          <t>4249561</t>
        </is>
      </c>
      <c r="C148" s="2" t="inlineStr">
        <is>
          <t>워터파크</t>
        </is>
      </c>
      <c r="D148" s="2" t="inlineStr">
        <is>
          <t>워터파크</t>
        </is>
      </c>
      <c r="E148" s="2" t="inlineStr">
        <is>
          <t>여주</t>
        </is>
      </c>
      <c r="F148" s="2" t="inlineStr">
        <is>
          <t>썬밸리 워터파크</t>
        </is>
      </c>
      <c r="G148" s="2" t="inlineStr">
        <is>
          <t>비수기 소인종일권 썬밸리(8/24~9/30)</t>
        </is>
      </c>
      <c r="H148" s="2" t="inlineStr">
        <is>
          <t>대인</t>
        </is>
      </c>
      <c r="I148" s="2" t="inlineStr">
        <is>
          <t>주중+주말</t>
        </is>
      </c>
      <c r="J148" s="2" t="inlineStr">
        <is>
          <t>종일</t>
        </is>
      </c>
      <c r="K148" s="2" t="n">
        <v>38000</v>
      </c>
      <c r="L148" s="2" t="n">
        <v>16000</v>
      </c>
      <c r="M148" s="2" t="n">
        <v>58</v>
      </c>
      <c r="N148" s="2" t="n">
        <v>57.9</v>
      </c>
      <c r="O148" s="2" t="inlineStr">
        <is>
          <t>1</t>
        </is>
      </c>
      <c r="P148" s="2" t="inlineStr">
        <is>
          <t>날짜지정</t>
        </is>
      </c>
      <c r="Q148" s="2" t="inlineStr">
        <is>
          <t>2026-08-24</t>
        </is>
      </c>
      <c r="R148" s="2" t="inlineStr">
        <is>
          <t>날짜지정</t>
        </is>
      </c>
      <c r="S148" s="2" t="inlineStr">
        <is>
          <t>2026-09-30</t>
        </is>
      </c>
      <c r="T148" s="2" t="b">
        <v>0</v>
      </c>
    </row>
    <row r="149">
      <c r="A149" s="2" t="inlineStr">
        <is>
          <t>328355</t>
        </is>
      </c>
      <c r="B149" s="2" t="inlineStr">
        <is>
          <t>4249562</t>
        </is>
      </c>
      <c r="C149" s="2" t="inlineStr">
        <is>
          <t>워터파크</t>
        </is>
      </c>
      <c r="D149" s="2" t="inlineStr">
        <is>
          <t>워터파크</t>
        </is>
      </c>
      <c r="E149" s="2" t="inlineStr">
        <is>
          <t>여주</t>
        </is>
      </c>
      <c r="F149" s="2" t="inlineStr">
        <is>
          <t>썬밸리 워터파크</t>
        </is>
      </c>
      <c r="G149" s="2" t="inlineStr">
        <is>
          <t>3인PKG 대소공통 주말 및 공휴일 이용권 썬밸리(~11/29)</t>
        </is>
      </c>
      <c r="H149" s="2" t="inlineStr">
        <is>
          <t>대소공통</t>
        </is>
      </c>
      <c r="I149" s="2" t="inlineStr">
        <is>
          <t>주말</t>
        </is>
      </c>
      <c r="J149" s="2" t="inlineStr">
        <is>
          <t>종일</t>
        </is>
      </c>
      <c r="K149" s="2" t="n">
        <v>114000</v>
      </c>
      <c r="L149" s="2" t="n">
        <v>40000</v>
      </c>
      <c r="M149" s="2" t="n">
        <v>65</v>
      </c>
      <c r="N149" s="2" t="n">
        <v>64.90000000000001</v>
      </c>
      <c r="O149" s="2" t="inlineStr">
        <is>
          <t>1</t>
        </is>
      </c>
      <c r="P149" s="2" t="inlineStr">
        <is>
          <t>날짜지정</t>
        </is>
      </c>
      <c r="Q149" s="2" t="inlineStr">
        <is>
          <t>2026-09-08</t>
        </is>
      </c>
      <c r="R149" s="2" t="inlineStr">
        <is>
          <t>날짜지정</t>
        </is>
      </c>
      <c r="S149" s="2" t="inlineStr">
        <is>
          <t>2026-11-29</t>
        </is>
      </c>
      <c r="T149" s="2" t="b">
        <v>0</v>
      </c>
    </row>
    <row r="150">
      <c r="A150" s="2" t="inlineStr">
        <is>
          <t>329497</t>
        </is>
      </c>
      <c r="B150" s="2" t="inlineStr">
        <is>
          <t>4276285</t>
        </is>
      </c>
      <c r="C150" s="2" t="inlineStr">
        <is>
          <t>워터파크</t>
        </is>
      </c>
      <c r="D150" s="2" t="inlineStr">
        <is>
          <t>워터파크</t>
        </is>
      </c>
      <c r="E150" s="2" t="inlineStr">
        <is>
          <t>부산</t>
        </is>
      </c>
      <c r="F150" s="2" t="inlineStr">
        <is>
          <t>클럽디오아시스 스파&amp;워터파크</t>
        </is>
      </c>
      <c r="G150" s="2" t="inlineStr">
        <is>
          <t>클럽디오아시스 나이트스파권(9/1~9/30)</t>
        </is>
      </c>
      <c r="H150" s="2" t="inlineStr">
        <is>
          <t>대소공통</t>
        </is>
      </c>
      <c r="I150" s="2" t="inlineStr">
        <is>
          <t>주중+주말</t>
        </is>
      </c>
      <c r="J150" s="2" t="inlineStr">
        <is>
          <t>종일</t>
        </is>
      </c>
      <c r="K150" s="2" t="n">
        <v>33000</v>
      </c>
      <c r="L150" s="2" t="n">
        <v>17000</v>
      </c>
      <c r="M150" s="2" t="n">
        <v>48</v>
      </c>
      <c r="N150" s="2" t="n">
        <v>48.5</v>
      </c>
      <c r="O150" s="2" t="inlineStr">
        <is>
          <t>1</t>
        </is>
      </c>
      <c r="P150" s="2" t="inlineStr">
        <is>
          <t>날짜지정</t>
        </is>
      </c>
      <c r="Q150" s="2" t="inlineStr">
        <is>
          <t>2026-09-01</t>
        </is>
      </c>
      <c r="R150" s="2" t="inlineStr">
        <is>
          <t>날짜지정</t>
        </is>
      </c>
      <c r="S150" s="2" t="inlineStr">
        <is>
          <t>2026-09-30</t>
        </is>
      </c>
      <c r="T150" s="2" t="b">
        <v>1</v>
      </c>
    </row>
    <row r="151">
      <c r="A151" s="2" t="inlineStr">
        <is>
          <t>329497</t>
        </is>
      </c>
      <c r="B151" s="2" t="inlineStr">
        <is>
          <t>4276284</t>
        </is>
      </c>
      <c r="C151" s="2" t="inlineStr">
        <is>
          <t>워터파크</t>
        </is>
      </c>
      <c r="D151" s="2" t="inlineStr">
        <is>
          <t>워터파크</t>
        </is>
      </c>
      <c r="E151" s="2" t="inlineStr">
        <is>
          <t>부산</t>
        </is>
      </c>
      <c r="F151" s="2" t="inlineStr">
        <is>
          <t>클럽디오아시스 스파&amp;워터파크</t>
        </is>
      </c>
      <c r="G151" s="2" t="inlineStr">
        <is>
          <t>클럽디오아시스 스파권(4H)(9/1~9/30)</t>
        </is>
      </c>
      <c r="H151" s="2" t="inlineStr">
        <is>
          <t>대소공통</t>
        </is>
      </c>
      <c r="I151" s="2" t="inlineStr">
        <is>
          <t>주중+주말</t>
        </is>
      </c>
      <c r="J151" s="2" t="inlineStr">
        <is>
          <t>종일</t>
        </is>
      </c>
      <c r="K151" s="2" t="n">
        <v>33000</v>
      </c>
      <c r="L151" s="2" t="n">
        <v>20500</v>
      </c>
      <c r="M151" s="2" t="n">
        <v>38</v>
      </c>
      <c r="N151" s="2" t="n">
        <v>37.9</v>
      </c>
      <c r="O151" s="2" t="inlineStr">
        <is>
          <t>1</t>
        </is>
      </c>
      <c r="P151" s="2" t="inlineStr">
        <is>
          <t>날짜지정</t>
        </is>
      </c>
      <c r="Q151" s="2" t="inlineStr">
        <is>
          <t>2026-09-01</t>
        </is>
      </c>
      <c r="R151" s="2" t="inlineStr">
        <is>
          <t>날짜지정</t>
        </is>
      </c>
      <c r="S151" s="2" t="inlineStr">
        <is>
          <t>2026-09-30</t>
        </is>
      </c>
      <c r="T151" s="2" t="b">
        <v>0</v>
      </c>
    </row>
    <row r="152">
      <c r="A152" s="2" t="inlineStr">
        <is>
          <t>329497</t>
        </is>
      </c>
      <c r="B152" s="2" t="inlineStr">
        <is>
          <t>4276283</t>
        </is>
      </c>
      <c r="C152" s="2" t="inlineStr">
        <is>
          <t>워터파크</t>
        </is>
      </c>
      <c r="D152" s="2" t="inlineStr">
        <is>
          <t>워터파크</t>
        </is>
      </c>
      <c r="E152" s="2" t="inlineStr">
        <is>
          <t>부산</t>
        </is>
      </c>
      <c r="F152" s="2" t="inlineStr">
        <is>
          <t>클럽디오아시스 스파&amp;워터파크</t>
        </is>
      </c>
      <c r="G152" s="2" t="inlineStr">
        <is>
          <t>클럽디오아시스 스파권(6H)(9/1~9/30)</t>
        </is>
      </c>
      <c r="H152" s="2" t="inlineStr">
        <is>
          <t>대소공통</t>
        </is>
      </c>
      <c r="I152" s="2" t="inlineStr">
        <is>
          <t>주중+주말</t>
        </is>
      </c>
      <c r="J152" s="2" t="inlineStr">
        <is>
          <t>종일</t>
        </is>
      </c>
      <c r="K152" s="2" t="n">
        <v>33000</v>
      </c>
      <c r="L152" s="2" t="n">
        <v>24000</v>
      </c>
      <c r="M152" s="2" t="n">
        <v>27</v>
      </c>
      <c r="N152" s="2" t="n">
        <v>27.3</v>
      </c>
      <c r="O152" s="2" t="inlineStr">
        <is>
          <t>1</t>
        </is>
      </c>
      <c r="P152" s="2" t="inlineStr">
        <is>
          <t>날짜지정</t>
        </is>
      </c>
      <c r="Q152" s="2" t="inlineStr">
        <is>
          <t>2026-09-01</t>
        </is>
      </c>
      <c r="R152" s="2" t="inlineStr">
        <is>
          <t>날짜지정</t>
        </is>
      </c>
      <c r="S152" s="2" t="inlineStr">
        <is>
          <t>2026-09-30</t>
        </is>
      </c>
      <c r="T152" s="2" t="b">
        <v>0</v>
      </c>
    </row>
    <row r="153">
      <c r="A153" s="2" t="inlineStr">
        <is>
          <t>329497</t>
        </is>
      </c>
      <c r="B153" s="2" t="inlineStr">
        <is>
          <t>4276282</t>
        </is>
      </c>
      <c r="C153" s="2" t="inlineStr">
        <is>
          <t>워터파크</t>
        </is>
      </c>
      <c r="D153" s="2" t="inlineStr">
        <is>
          <t>워터파크</t>
        </is>
      </c>
      <c r="E153" s="2" t="inlineStr">
        <is>
          <t>부산</t>
        </is>
      </c>
      <c r="F153" s="2" t="inlineStr">
        <is>
          <t>클럽디오아시스 스파&amp;워터파크</t>
        </is>
      </c>
      <c r="G153" s="2" t="inlineStr">
        <is>
          <t>클럽디오아시스 워터파크+찜질 통합권(7H)(9/1~9/30)</t>
        </is>
      </c>
      <c r="H153" s="2" t="inlineStr">
        <is>
          <t>대소공통</t>
        </is>
      </c>
      <c r="I153" s="2" t="inlineStr">
        <is>
          <t>주중+주말</t>
        </is>
      </c>
      <c r="J153" s="2" t="inlineStr">
        <is>
          <t>종일</t>
        </is>
      </c>
      <c r="K153" s="2" t="n">
        <v>54000</v>
      </c>
      <c r="L153" s="2" t="n">
        <v>28900</v>
      </c>
      <c r="M153" s="2" t="n">
        <v>46</v>
      </c>
      <c r="N153" s="2" t="n">
        <v>46.5</v>
      </c>
      <c r="O153" s="2" t="inlineStr">
        <is>
          <t>1</t>
        </is>
      </c>
      <c r="P153" s="2" t="inlineStr">
        <is>
          <t>날짜지정</t>
        </is>
      </c>
      <c r="Q153" s="2" t="inlineStr">
        <is>
          <t>2026-09-01</t>
        </is>
      </c>
      <c r="R153" s="2" t="inlineStr">
        <is>
          <t>날짜지정</t>
        </is>
      </c>
      <c r="S153" s="2" t="inlineStr">
        <is>
          <t>2026-09-30</t>
        </is>
      </c>
      <c r="T153" s="2" t="b">
        <v>0</v>
      </c>
    </row>
    <row r="154">
      <c r="A154" s="2" t="inlineStr">
        <is>
          <t>329497</t>
        </is>
      </c>
      <c r="B154" s="2" t="inlineStr">
        <is>
          <t>4276281</t>
        </is>
      </c>
      <c r="C154" s="2" t="inlineStr">
        <is>
          <t>워터파크</t>
        </is>
      </c>
      <c r="D154" s="2" t="inlineStr">
        <is>
          <t>워터파크</t>
        </is>
      </c>
      <c r="E154" s="2" t="inlineStr">
        <is>
          <t>부산</t>
        </is>
      </c>
      <c r="F154" s="2" t="inlineStr">
        <is>
          <t>클럽디오아시스 스파&amp;워터파크</t>
        </is>
      </c>
      <c r="G154" s="2" t="inlineStr">
        <is>
          <t>클럽디오아시스 워터파크+찜질 통합권(10H)(9/1~9/30)</t>
        </is>
      </c>
      <c r="H154" s="2" t="inlineStr">
        <is>
          <t>대소공통</t>
        </is>
      </c>
      <c r="I154" s="2" t="inlineStr">
        <is>
          <t>주중+주말</t>
        </is>
      </c>
      <c r="J154" s="2" t="inlineStr">
        <is>
          <t>종일</t>
        </is>
      </c>
      <c r="K154" s="2" t="n">
        <v>54000</v>
      </c>
      <c r="L154" s="2" t="n">
        <v>31900</v>
      </c>
      <c r="M154" s="2" t="n">
        <v>41</v>
      </c>
      <c r="N154" s="2" t="n">
        <v>40.9</v>
      </c>
      <c r="O154" s="2" t="inlineStr">
        <is>
          <t>1</t>
        </is>
      </c>
      <c r="P154" s="2" t="inlineStr">
        <is>
          <t>날짜지정</t>
        </is>
      </c>
      <c r="Q154" s="2" t="inlineStr">
        <is>
          <t>2026-09-01</t>
        </is>
      </c>
      <c r="R154" s="2" t="inlineStr">
        <is>
          <t>날짜지정</t>
        </is>
      </c>
      <c r="S154" s="2" t="inlineStr">
        <is>
          <t>2026-09-30</t>
        </is>
      </c>
      <c r="T154" s="2" t="b">
        <v>0</v>
      </c>
    </row>
    <row r="155">
      <c r="A155" s="2" t="inlineStr">
        <is>
          <t>329497</t>
        </is>
      </c>
      <c r="B155" s="2" t="inlineStr">
        <is>
          <t>4276286</t>
        </is>
      </c>
      <c r="C155" s="2" t="inlineStr">
        <is>
          <t>워터파크</t>
        </is>
      </c>
      <c r="D155" s="2" t="inlineStr">
        <is>
          <t>워터파크</t>
        </is>
      </c>
      <c r="E155" s="2" t="inlineStr">
        <is>
          <t>부산</t>
        </is>
      </c>
      <c r="F155" s="2" t="inlineStr">
        <is>
          <t>클럽디오아시스 스파&amp;워터파크</t>
        </is>
      </c>
      <c r="G155" s="2" t="inlineStr">
        <is>
          <t>클럽디오아시스 통합권 10회권(~11/30)</t>
        </is>
      </c>
      <c r="H155" s="2" t="inlineStr">
        <is>
          <t>대소공통</t>
        </is>
      </c>
      <c r="I155" s="2" t="inlineStr">
        <is>
          <t>주중+주말</t>
        </is>
      </c>
      <c r="J155" s="2" t="inlineStr">
        <is>
          <t>종일</t>
        </is>
      </c>
      <c r="K155" s="2" t="n">
        <v>540000</v>
      </c>
      <c r="L155" s="2" t="n">
        <v>220000</v>
      </c>
      <c r="M155" s="2" t="n">
        <v>59</v>
      </c>
      <c r="N155" s="2" t="n">
        <v>59.3</v>
      </c>
      <c r="O155" s="2" t="inlineStr">
        <is>
          <t>1</t>
        </is>
      </c>
      <c r="P155" s="2" t="inlineStr">
        <is>
          <t>날짜지정</t>
        </is>
      </c>
      <c r="Q155" s="2" t="inlineStr">
        <is>
          <t>2026-09-01</t>
        </is>
      </c>
      <c r="R155" s="2" t="inlineStr">
        <is>
          <t>날짜지정</t>
        </is>
      </c>
      <c r="S155" s="2" t="inlineStr">
        <is>
          <t>2026-11-30</t>
        </is>
      </c>
      <c r="T155" s="2" t="b">
        <v>0</v>
      </c>
    </row>
    <row r="156">
      <c r="A156" s="2" t="inlineStr">
        <is>
          <t>330190</t>
        </is>
      </c>
      <c r="B156" s="2" t="inlineStr">
        <is>
          <t>4296709</t>
        </is>
      </c>
      <c r="C156" s="2" t="inlineStr">
        <is>
          <t>테마파크</t>
        </is>
      </c>
      <c r="D156" s="2" t="inlineStr">
        <is>
          <t>테마파크</t>
        </is>
      </c>
      <c r="E156" s="2" t="inlineStr">
        <is>
          <t>고양</t>
        </is>
      </c>
      <c r="F156" s="2" t="inlineStr">
        <is>
          <t>프렌디노 공룡 어린이키즈</t>
        </is>
      </c>
      <c r="G156" s="2" t="inlineStr">
        <is>
          <t>프렌디노 공룡 어린이키즈 대인종일권(~11/1)</t>
        </is>
      </c>
      <c r="H156" s="2" t="inlineStr">
        <is>
          <t>대인</t>
        </is>
      </c>
      <c r="I156" s="2" t="inlineStr">
        <is>
          <t>주중+주말</t>
        </is>
      </c>
      <c r="J156" s="2" t="inlineStr">
        <is>
          <t>종일</t>
        </is>
      </c>
      <c r="K156" s="2" t="n">
        <v>10000</v>
      </c>
      <c r="L156" s="2" t="n">
        <v>7000</v>
      </c>
      <c r="M156" s="2" t="n">
        <v>30</v>
      </c>
      <c r="N156" s="2" t="n">
        <v>30</v>
      </c>
      <c r="O156" s="2" t="inlineStr">
        <is>
          <t>1</t>
        </is>
      </c>
      <c r="P156" s="2" t="inlineStr">
        <is>
          <t>날짜지정</t>
        </is>
      </c>
      <c r="Q156" s="2" t="inlineStr">
        <is>
          <t>2025-09-01</t>
        </is>
      </c>
      <c r="R156" s="2" t="inlineStr">
        <is>
          <t>날짜지정</t>
        </is>
      </c>
      <c r="S156" s="2" t="inlineStr">
        <is>
          <t>2026-11-01</t>
        </is>
      </c>
      <c r="T156" s="2" t="b">
        <v>1</v>
      </c>
    </row>
    <row r="157">
      <c r="A157" s="2" t="inlineStr">
        <is>
          <t>330190</t>
        </is>
      </c>
      <c r="B157" s="2" t="inlineStr">
        <is>
          <t>4296710</t>
        </is>
      </c>
      <c r="C157" s="2" t="inlineStr">
        <is>
          <t>테마파크</t>
        </is>
      </c>
      <c r="D157" s="2" t="inlineStr">
        <is>
          <t>테마파크</t>
        </is>
      </c>
      <c r="E157" s="2" t="inlineStr">
        <is>
          <t>고양</t>
        </is>
      </c>
      <c r="F157" s="2" t="inlineStr">
        <is>
          <t>프렌디노 공룡 어린이키즈</t>
        </is>
      </c>
      <c r="G157" s="2" t="inlineStr">
        <is>
          <t>프렌디노 공룡 어린이키즈 소인_2시간권(~11/1)</t>
        </is>
      </c>
      <c r="H157" s="2" t="inlineStr">
        <is>
          <t>소인</t>
        </is>
      </c>
      <c r="I157" s="2" t="inlineStr">
        <is>
          <t>주중+주말</t>
        </is>
      </c>
      <c r="J157" s="2" t="inlineStr"/>
      <c r="K157" s="2" t="n">
        <v>24000</v>
      </c>
      <c r="L157" s="2" t="n">
        <v>16000</v>
      </c>
      <c r="M157" s="2" t="n">
        <v>33</v>
      </c>
      <c r="N157" s="2" t="n">
        <v>33.3</v>
      </c>
      <c r="O157" s="2" t="inlineStr">
        <is>
          <t>1</t>
        </is>
      </c>
      <c r="P157" s="2" t="inlineStr">
        <is>
          <t>날짜지정</t>
        </is>
      </c>
      <c r="Q157" s="2" t="inlineStr">
        <is>
          <t>2025-09-01</t>
        </is>
      </c>
      <c r="R157" s="2" t="inlineStr">
        <is>
          <t>날짜지정</t>
        </is>
      </c>
      <c r="S157" s="2" t="inlineStr">
        <is>
          <t>2026-11-01</t>
        </is>
      </c>
      <c r="T157" s="2" t="b">
        <v>0</v>
      </c>
    </row>
    <row r="158">
      <c r="A158" s="2" t="inlineStr">
        <is>
          <t>330190</t>
        </is>
      </c>
      <c r="B158" s="2" t="inlineStr">
        <is>
          <t>4296711</t>
        </is>
      </c>
      <c r="C158" s="2" t="inlineStr">
        <is>
          <t>테마파크</t>
        </is>
      </c>
      <c r="D158" s="2" t="inlineStr">
        <is>
          <t>테마파크</t>
        </is>
      </c>
      <c r="E158" s="2" t="inlineStr">
        <is>
          <t>고양</t>
        </is>
      </c>
      <c r="F158" s="2" t="inlineStr">
        <is>
          <t>프렌디노 공룡 어린이키즈</t>
        </is>
      </c>
      <c r="G158" s="2" t="inlineStr">
        <is>
          <t>프렌디노 공룡 어린이키즈 소인종일권(~11/1)</t>
        </is>
      </c>
      <c r="H158" s="2" t="inlineStr">
        <is>
          <t>소인</t>
        </is>
      </c>
      <c r="I158" s="2" t="inlineStr">
        <is>
          <t>주중+주말</t>
        </is>
      </c>
      <c r="J158" s="2" t="inlineStr">
        <is>
          <t>종일</t>
        </is>
      </c>
      <c r="K158" s="2" t="n">
        <v>30000</v>
      </c>
      <c r="L158" s="2" t="n">
        <v>22000</v>
      </c>
      <c r="M158" s="2" t="n">
        <v>27</v>
      </c>
      <c r="N158" s="2" t="n">
        <v>26.7</v>
      </c>
      <c r="O158" s="2" t="inlineStr">
        <is>
          <t>1</t>
        </is>
      </c>
      <c r="P158" s="2" t="inlineStr">
        <is>
          <t>날짜지정</t>
        </is>
      </c>
      <c r="Q158" s="2" t="inlineStr">
        <is>
          <t>2025-09-01</t>
        </is>
      </c>
      <c r="R158" s="2" t="inlineStr">
        <is>
          <t>날짜지정</t>
        </is>
      </c>
      <c r="S158" s="2" t="inlineStr">
        <is>
          <t>2026-11-01</t>
        </is>
      </c>
      <c r="T158" s="2" t="b">
        <v>0</v>
      </c>
    </row>
    <row r="159">
      <c r="A159" s="2" t="inlineStr">
        <is>
          <t>330190</t>
        </is>
      </c>
      <c r="B159" s="2" t="inlineStr">
        <is>
          <t>4296712</t>
        </is>
      </c>
      <c r="C159" s="2" t="inlineStr">
        <is>
          <t>테마파크</t>
        </is>
      </c>
      <c r="D159" s="2" t="inlineStr">
        <is>
          <t>테마파크</t>
        </is>
      </c>
      <c r="E159" s="2" t="inlineStr">
        <is>
          <t>고양</t>
        </is>
      </c>
      <c r="F159" s="2" t="inlineStr">
        <is>
          <t>프렌디노 공룡 어린이키즈</t>
        </is>
      </c>
      <c r="G159" s="2" t="inlineStr">
        <is>
          <t>프렌디노 공룡 어린이키즈 주중 대인1(종일권)+주중 소인1(2시간권)(~11/1)</t>
        </is>
      </c>
      <c r="H159" s="2" t="inlineStr">
        <is>
          <t>성인1+어린이1</t>
        </is>
      </c>
      <c r="I159" s="2" t="inlineStr">
        <is>
          <t>주중</t>
        </is>
      </c>
      <c r="J159" s="2" t="inlineStr"/>
      <c r="K159" s="2" t="n">
        <v>34000</v>
      </c>
      <c r="L159" s="2" t="n">
        <v>22000</v>
      </c>
      <c r="M159" s="2" t="n">
        <v>35</v>
      </c>
      <c r="N159" s="2" t="n">
        <v>35.3</v>
      </c>
      <c r="O159" s="2" t="inlineStr">
        <is>
          <t>1</t>
        </is>
      </c>
      <c r="P159" s="2" t="inlineStr">
        <is>
          <t>날짜지정</t>
        </is>
      </c>
      <c r="Q159" s="2" t="inlineStr">
        <is>
          <t>2025-09-01</t>
        </is>
      </c>
      <c r="R159" s="2" t="inlineStr">
        <is>
          <t>날짜지정</t>
        </is>
      </c>
      <c r="S159" s="2" t="inlineStr">
        <is>
          <t>2026-11-01</t>
        </is>
      </c>
      <c r="T159" s="2" t="b">
        <v>0</v>
      </c>
    </row>
    <row r="160">
      <c r="A160" s="2" t="inlineStr">
        <is>
          <t>326780</t>
        </is>
      </c>
      <c r="B160" s="2" t="inlineStr">
        <is>
          <t>4205371</t>
        </is>
      </c>
      <c r="C160" s="2" t="inlineStr">
        <is>
          <t>테마파크</t>
        </is>
      </c>
      <c r="D160" s="2" t="inlineStr">
        <is>
          <t>테마파크</t>
        </is>
      </c>
      <c r="E160" s="2" t="inlineStr">
        <is>
          <t>남양주</t>
        </is>
      </c>
      <c r="F160" s="2" t="inlineStr">
        <is>
          <t>프리미어 뽀로로테마파크 다산 위드트래블</t>
        </is>
      </c>
      <c r="G160" s="2" t="inlineStr">
        <is>
          <t>주중 대인 종일권 뽀로로파크(~9/30)</t>
        </is>
      </c>
      <c r="H160" s="2" t="inlineStr">
        <is>
          <t>대인</t>
        </is>
      </c>
      <c r="I160" s="2" t="inlineStr">
        <is>
          <t>주중</t>
        </is>
      </c>
      <c r="J160" s="2" t="inlineStr">
        <is>
          <t>종일</t>
        </is>
      </c>
      <c r="K160" s="2" t="n">
        <v>30000</v>
      </c>
      <c r="L160" s="2" t="n">
        <v>15000</v>
      </c>
      <c r="M160" s="2" t="n">
        <v>50</v>
      </c>
      <c r="N160" s="2" t="n">
        <v>50</v>
      </c>
      <c r="O160" s="2" t="inlineStr">
        <is>
          <t>1</t>
        </is>
      </c>
      <c r="P160" s="2" t="inlineStr">
        <is>
          <t>날짜지정</t>
        </is>
      </c>
      <c r="Q160" s="2" t="inlineStr">
        <is>
          <t>2026-06-01</t>
        </is>
      </c>
      <c r="R160" s="2" t="inlineStr">
        <is>
          <t>날짜지정</t>
        </is>
      </c>
      <c r="S160" s="2" t="inlineStr">
        <is>
          <t>2026-09-30</t>
        </is>
      </c>
      <c r="T160" s="2" t="b">
        <v>1</v>
      </c>
    </row>
    <row r="161">
      <c r="A161" s="2" t="inlineStr">
        <is>
          <t>326780</t>
        </is>
      </c>
      <c r="B161" s="2" t="inlineStr">
        <is>
          <t>4205369</t>
        </is>
      </c>
      <c r="C161" s="2" t="inlineStr">
        <is>
          <t>테마파크</t>
        </is>
      </c>
      <c r="D161" s="2" t="inlineStr">
        <is>
          <t>테마파크</t>
        </is>
      </c>
      <c r="E161" s="2" t="inlineStr">
        <is>
          <t>남양주</t>
        </is>
      </c>
      <c r="F161" s="2" t="inlineStr">
        <is>
          <t>프리미어 뽀로로테마파크 다산 위드트래블</t>
        </is>
      </c>
      <c r="G161" s="2" t="inlineStr">
        <is>
          <t>주말 대인 종일권 뽀로로파크(~9/30)</t>
        </is>
      </c>
      <c r="H161" s="2" t="inlineStr">
        <is>
          <t>대인</t>
        </is>
      </c>
      <c r="I161" s="2" t="inlineStr">
        <is>
          <t>주말</t>
        </is>
      </c>
      <c r="J161" s="2" t="inlineStr">
        <is>
          <t>종일</t>
        </is>
      </c>
      <c r="K161" s="2" t="n">
        <v>30000</v>
      </c>
      <c r="L161" s="2" t="n">
        <v>18000</v>
      </c>
      <c r="M161" s="2" t="n">
        <v>40</v>
      </c>
      <c r="N161" s="2" t="n">
        <v>40</v>
      </c>
      <c r="O161" s="2" t="inlineStr">
        <is>
          <t>1</t>
        </is>
      </c>
      <c r="P161" s="2" t="inlineStr">
        <is>
          <t>날짜지정</t>
        </is>
      </c>
      <c r="Q161" s="2" t="inlineStr">
        <is>
          <t>2026-06-01</t>
        </is>
      </c>
      <c r="R161" s="2" t="inlineStr">
        <is>
          <t>날짜지정</t>
        </is>
      </c>
      <c r="S161" s="2" t="inlineStr">
        <is>
          <t>2026-09-30</t>
        </is>
      </c>
      <c r="T161" s="2" t="b">
        <v>0</v>
      </c>
    </row>
    <row r="162">
      <c r="A162" s="2" t="inlineStr">
        <is>
          <t>326780</t>
        </is>
      </c>
      <c r="B162" s="2" t="inlineStr">
        <is>
          <t>4205372</t>
        </is>
      </c>
      <c r="C162" s="2" t="inlineStr">
        <is>
          <t>테마파크</t>
        </is>
      </c>
      <c r="D162" s="2" t="inlineStr">
        <is>
          <t>테마파크</t>
        </is>
      </c>
      <c r="E162" s="2" t="inlineStr">
        <is>
          <t>남양주</t>
        </is>
      </c>
      <c r="F162" s="2" t="inlineStr">
        <is>
          <t>프리미어 뽀로로테마파크 다산 위드트래블</t>
        </is>
      </c>
      <c r="G162" s="2" t="inlineStr">
        <is>
          <t>주중 소인 종일권 뽀로로파크(~9/30)</t>
        </is>
      </c>
      <c r="H162" s="2" t="inlineStr">
        <is>
          <t>소인</t>
        </is>
      </c>
      <c r="I162" s="2" t="inlineStr">
        <is>
          <t>주중</t>
        </is>
      </c>
      <c r="J162" s="2" t="inlineStr">
        <is>
          <t>종일</t>
        </is>
      </c>
      <c r="K162" s="2" t="n">
        <v>40000</v>
      </c>
      <c r="L162" s="2" t="n">
        <v>20000</v>
      </c>
      <c r="M162" s="2" t="n">
        <v>50</v>
      </c>
      <c r="N162" s="2" t="n">
        <v>50</v>
      </c>
      <c r="O162" s="2" t="inlineStr">
        <is>
          <t>1</t>
        </is>
      </c>
      <c r="P162" s="2" t="inlineStr">
        <is>
          <t>날짜지정</t>
        </is>
      </c>
      <c r="Q162" s="2" t="inlineStr">
        <is>
          <t>2026-06-01</t>
        </is>
      </c>
      <c r="R162" s="2" t="inlineStr">
        <is>
          <t>날짜지정</t>
        </is>
      </c>
      <c r="S162" s="2" t="inlineStr">
        <is>
          <t>2026-09-30</t>
        </is>
      </c>
      <c r="T162" s="2" t="b">
        <v>0</v>
      </c>
    </row>
    <row r="163">
      <c r="A163" s="2" t="inlineStr">
        <is>
          <t>326780</t>
        </is>
      </c>
      <c r="B163" s="2" t="inlineStr">
        <is>
          <t>4205370</t>
        </is>
      </c>
      <c r="C163" s="2" t="inlineStr">
        <is>
          <t>테마파크</t>
        </is>
      </c>
      <c r="D163" s="2" t="inlineStr">
        <is>
          <t>테마파크</t>
        </is>
      </c>
      <c r="E163" s="2" t="inlineStr">
        <is>
          <t>남양주</t>
        </is>
      </c>
      <c r="F163" s="2" t="inlineStr">
        <is>
          <t>프리미어 뽀로로테마파크 다산 위드트래블</t>
        </is>
      </c>
      <c r="G163" s="2" t="inlineStr">
        <is>
          <t>주말 소인 종일권 뽀로로파크(~9/30)</t>
        </is>
      </c>
      <c r="H163" s="2" t="inlineStr">
        <is>
          <t>소인</t>
        </is>
      </c>
      <c r="I163" s="2" t="inlineStr">
        <is>
          <t>주말</t>
        </is>
      </c>
      <c r="J163" s="2" t="inlineStr">
        <is>
          <t>종일</t>
        </is>
      </c>
      <c r="K163" s="2" t="n">
        <v>40000</v>
      </c>
      <c r="L163" s="2" t="n">
        <v>24000</v>
      </c>
      <c r="M163" s="2" t="n">
        <v>40</v>
      </c>
      <c r="N163" s="2" t="n">
        <v>40</v>
      </c>
      <c r="O163" s="2" t="inlineStr">
        <is>
          <t>1</t>
        </is>
      </c>
      <c r="P163" s="2" t="inlineStr">
        <is>
          <t>날짜지정</t>
        </is>
      </c>
      <c r="Q163" s="2" t="inlineStr">
        <is>
          <t>2026-06-01</t>
        </is>
      </c>
      <c r="R163" s="2" t="inlineStr">
        <is>
          <t>날짜지정</t>
        </is>
      </c>
      <c r="S163" s="2" t="inlineStr">
        <is>
          <t>2026-09-30</t>
        </is>
      </c>
      <c r="T163" s="2" t="b">
        <v>0</v>
      </c>
    </row>
    <row r="164">
      <c r="A164" s="2" t="inlineStr">
        <is>
          <t>330379</t>
        </is>
      </c>
      <c r="B164" s="2" t="inlineStr">
        <is>
          <t>4303797</t>
        </is>
      </c>
      <c r="C164" s="2" t="inlineStr">
        <is>
          <t>워터파크</t>
        </is>
      </c>
      <c r="D164" s="2" t="inlineStr">
        <is>
          <t>워터파크</t>
        </is>
      </c>
      <c r="E164" s="2" t="inlineStr">
        <is>
          <t>경북</t>
        </is>
      </c>
      <c r="F164" s="2" t="inlineStr">
        <is>
          <t>경주 뽀로로아쿠아빌리지 워터파크</t>
        </is>
      </c>
      <c r="G164" s="2" t="inlineStr">
        <is>
          <t>주중권 뽀로로아쿠아빌리지(10/1~10/30)</t>
        </is>
      </c>
      <c r="H164" s="2" t="inlineStr">
        <is>
          <t>대소공통</t>
        </is>
      </c>
      <c r="I164" s="2" t="inlineStr">
        <is>
          <t>주중</t>
        </is>
      </c>
      <c r="J164" s="2" t="inlineStr"/>
      <c r="K164" s="2" t="n">
        <v>50000</v>
      </c>
      <c r="L164" s="2" t="n">
        <v>24900</v>
      </c>
      <c r="M164" s="2" t="n">
        <v>50</v>
      </c>
      <c r="N164" s="2" t="n">
        <v>50.2</v>
      </c>
      <c r="O164" s="2" t="inlineStr">
        <is>
          <t>1</t>
        </is>
      </c>
      <c r="P164" s="2" t="inlineStr">
        <is>
          <t>날짜지정</t>
        </is>
      </c>
      <c r="Q164" s="2" t="inlineStr">
        <is>
          <t>2026-10-01</t>
        </is>
      </c>
      <c r="R164" s="2" t="inlineStr">
        <is>
          <t>날짜지정</t>
        </is>
      </c>
      <c r="S164" s="2" t="inlineStr">
        <is>
          <t>2026-10-30</t>
        </is>
      </c>
      <c r="T164" s="2" t="b">
        <v>1</v>
      </c>
    </row>
    <row r="165">
      <c r="A165" s="2" t="inlineStr">
        <is>
          <t>330379</t>
        </is>
      </c>
      <c r="B165" s="2" t="inlineStr">
        <is>
          <t>4303796</t>
        </is>
      </c>
      <c r="C165" s="2" t="inlineStr">
        <is>
          <t>워터파크</t>
        </is>
      </c>
      <c r="D165" s="2" t="inlineStr">
        <is>
          <t>워터파크</t>
        </is>
      </c>
      <c r="E165" s="2" t="inlineStr">
        <is>
          <t>경북</t>
        </is>
      </c>
      <c r="F165" s="2" t="inlineStr">
        <is>
          <t>경주 뽀로로아쿠아빌리지 워터파크</t>
        </is>
      </c>
      <c r="G165" s="2" t="inlineStr">
        <is>
          <t>주말권 뽀로로아쿠아빌리지(10/3 ~10/31)</t>
        </is>
      </c>
      <c r="H165" s="2" t="inlineStr">
        <is>
          <t>대소공통</t>
        </is>
      </c>
      <c r="I165" s="2" t="inlineStr">
        <is>
          <t>주말</t>
        </is>
      </c>
      <c r="J165" s="2" t="inlineStr"/>
      <c r="K165" s="2" t="n">
        <v>50000</v>
      </c>
      <c r="L165" s="2" t="n">
        <v>28900</v>
      </c>
      <c r="M165" s="2" t="n">
        <v>42</v>
      </c>
      <c r="N165" s="2" t="n">
        <v>42.2</v>
      </c>
      <c r="O165" s="2" t="inlineStr">
        <is>
          <t>1</t>
        </is>
      </c>
      <c r="P165" s="2" t="inlineStr">
        <is>
          <t>날짜지정</t>
        </is>
      </c>
      <c r="Q165" s="2" t="inlineStr">
        <is>
          <t>2026-10-03</t>
        </is>
      </c>
      <c r="R165" s="2" t="inlineStr">
        <is>
          <t>날짜지정</t>
        </is>
      </c>
      <c r="S165" s="2" t="inlineStr">
        <is>
          <t>2026-10-31</t>
        </is>
      </c>
      <c r="T165" s="2" t="b">
        <v>0</v>
      </c>
    </row>
    <row r="166">
      <c r="A166" s="2" t="inlineStr">
        <is>
          <t>325268</t>
        </is>
      </c>
      <c r="B166" s="2" t="inlineStr">
        <is>
          <t>4160045</t>
        </is>
      </c>
      <c r="C166" s="2" t="inlineStr">
        <is>
          <t>워터파크</t>
        </is>
      </c>
      <c r="D166" s="2" t="inlineStr">
        <is>
          <t>워터파크</t>
        </is>
      </c>
      <c r="E166" s="2" t="inlineStr">
        <is>
          <t>화순</t>
        </is>
      </c>
      <c r="F166" s="2" t="inlineStr">
        <is>
          <t>화순아쿠아나</t>
        </is>
      </c>
      <c r="G166" s="2" t="inlineStr">
        <is>
          <t>주중종일권 비수기 화순아쿠아나(8/31~12/31)</t>
        </is>
      </c>
      <c r="H166" s="2" t="inlineStr">
        <is>
          <t>대소공통</t>
        </is>
      </c>
      <c r="I166" s="2" t="inlineStr">
        <is>
          <t>주중</t>
        </is>
      </c>
      <c r="J166" s="2" t="inlineStr">
        <is>
          <t>종일</t>
        </is>
      </c>
      <c r="K166" s="2" t="n">
        <v>55000</v>
      </c>
      <c r="L166" s="2" t="n">
        <v>18000</v>
      </c>
      <c r="M166" s="2" t="n">
        <v>67</v>
      </c>
      <c r="N166" s="2" t="n">
        <v>67.3</v>
      </c>
      <c r="O166" s="2" t="inlineStr">
        <is>
          <t>1</t>
        </is>
      </c>
      <c r="P166" s="2" t="inlineStr">
        <is>
          <t>날짜지정</t>
        </is>
      </c>
      <c r="Q166" s="2" t="inlineStr">
        <is>
          <t>2026-08-31</t>
        </is>
      </c>
      <c r="R166" s="2" t="inlineStr">
        <is>
          <t>날짜지정</t>
        </is>
      </c>
      <c r="S166" s="2" t="inlineStr">
        <is>
          <t>2026-12-31</t>
        </is>
      </c>
      <c r="T166" s="2" t="b">
        <v>1</v>
      </c>
    </row>
    <row r="167">
      <c r="A167" s="2" t="inlineStr">
        <is>
          <t>325268</t>
        </is>
      </c>
      <c r="B167" s="2" t="inlineStr">
        <is>
          <t>4160046</t>
        </is>
      </c>
      <c r="C167" s="2" t="inlineStr">
        <is>
          <t>워터파크</t>
        </is>
      </c>
      <c r="D167" s="2" t="inlineStr">
        <is>
          <t>워터파크</t>
        </is>
      </c>
      <c r="E167" s="2" t="inlineStr">
        <is>
          <t>화순</t>
        </is>
      </c>
      <c r="F167" s="2" t="inlineStr">
        <is>
          <t>화순아쿠아나</t>
        </is>
      </c>
      <c r="G167" s="2" t="inlineStr">
        <is>
          <t>주말종일권 비수기 화순아쿠아나(8/31~12/31)</t>
        </is>
      </c>
      <c r="H167" s="2" t="inlineStr">
        <is>
          <t>대소공통</t>
        </is>
      </c>
      <c r="I167" s="2" t="inlineStr">
        <is>
          <t>주말</t>
        </is>
      </c>
      <c r="J167" s="2" t="inlineStr">
        <is>
          <t>종일</t>
        </is>
      </c>
      <c r="K167" s="2" t="n">
        <v>55000</v>
      </c>
      <c r="L167" s="2" t="n">
        <v>21000</v>
      </c>
      <c r="M167" s="2" t="n">
        <v>62</v>
      </c>
      <c r="N167" s="2" t="n">
        <v>61.8</v>
      </c>
      <c r="O167" s="2" t="inlineStr">
        <is>
          <t>1</t>
        </is>
      </c>
      <c r="P167" s="2" t="inlineStr">
        <is>
          <t>날짜지정</t>
        </is>
      </c>
      <c r="Q167" s="2" t="inlineStr">
        <is>
          <t>2026-08-31</t>
        </is>
      </c>
      <c r="R167" s="2" t="inlineStr">
        <is>
          <t>날짜지정</t>
        </is>
      </c>
      <c r="S167" s="2" t="inlineStr">
        <is>
          <t>2026-12-31</t>
        </is>
      </c>
      <c r="T167" s="2" t="b">
        <v>0</v>
      </c>
    </row>
    <row r="168">
      <c r="A168" s="2" t="inlineStr">
        <is>
          <t>326591</t>
        </is>
      </c>
      <c r="B168" s="2" t="inlineStr">
        <is>
          <t>4197539</t>
        </is>
      </c>
      <c r="C168" s="2" t="inlineStr">
        <is>
          <t>워터파크</t>
        </is>
      </c>
      <c r="D168" s="2" t="inlineStr">
        <is>
          <t>워터파크</t>
        </is>
      </c>
      <c r="E168" s="2" t="inlineStr">
        <is>
          <t>서울</t>
        </is>
      </c>
      <c r="F168" s="2" t="inlineStr">
        <is>
          <t>씨랄라 워터파크</t>
        </is>
      </c>
      <c r="G168" s="2" t="inlineStr">
        <is>
          <t>대소공통 종일권 씨랄라 워터파크(9/1~10/31)</t>
        </is>
      </c>
      <c r="H168" s="2" t="inlineStr">
        <is>
          <t>대소공통</t>
        </is>
      </c>
      <c r="I168" s="2" t="inlineStr">
        <is>
          <t>주말</t>
        </is>
      </c>
      <c r="J168" s="2" t="inlineStr">
        <is>
          <t>종일</t>
        </is>
      </c>
      <c r="K168" s="2" t="n">
        <v>40000</v>
      </c>
      <c r="L168" s="2" t="n">
        <v>24900</v>
      </c>
      <c r="M168" s="2" t="n">
        <v>38</v>
      </c>
      <c r="N168" s="2" t="n">
        <v>37.8</v>
      </c>
      <c r="O168" s="2" t="inlineStr">
        <is>
          <t>1</t>
        </is>
      </c>
      <c r="P168" s="2" t="inlineStr">
        <is>
          <t>날짜지정</t>
        </is>
      </c>
      <c r="Q168" s="2" t="inlineStr">
        <is>
          <t>2026-09-01</t>
        </is>
      </c>
      <c r="R168" s="2" t="inlineStr">
        <is>
          <t>날짜지정</t>
        </is>
      </c>
      <c r="S168" s="2" t="inlineStr">
        <is>
          <t>2026-10-31</t>
        </is>
      </c>
      <c r="T168" s="2" t="b">
        <v>1</v>
      </c>
    </row>
    <row r="169">
      <c r="A169" s="2" t="inlineStr">
        <is>
          <t>326591</t>
        </is>
      </c>
      <c r="B169" s="2" t="inlineStr">
        <is>
          <t>4197540</t>
        </is>
      </c>
      <c r="C169" s="2" t="inlineStr">
        <is>
          <t>워터파크</t>
        </is>
      </c>
      <c r="D169" s="2" t="inlineStr">
        <is>
          <t>워터파크</t>
        </is>
      </c>
      <c r="E169" s="2" t="inlineStr">
        <is>
          <t>서울</t>
        </is>
      </c>
      <c r="F169" s="2" t="inlineStr">
        <is>
          <t>씨랄라 워터파크</t>
        </is>
      </c>
      <c r="G169" s="2" t="inlineStr">
        <is>
          <t>대소공통 오후권(AFTER3) 씨랄라 워터파크(9/1~10/31)</t>
        </is>
      </c>
      <c r="H169" s="2" t="inlineStr">
        <is>
          <t>대소공통</t>
        </is>
      </c>
      <c r="I169" s="2" t="inlineStr">
        <is>
          <t>주말</t>
        </is>
      </c>
      <c r="J169" s="2" t="inlineStr">
        <is>
          <t>오후</t>
        </is>
      </c>
      <c r="K169" s="2" t="n">
        <v>40000</v>
      </c>
      <c r="L169" s="2" t="n">
        <v>18900</v>
      </c>
      <c r="M169" s="2" t="n">
        <v>53</v>
      </c>
      <c r="N169" s="2" t="n">
        <v>52.8</v>
      </c>
      <c r="O169" s="2" t="inlineStr">
        <is>
          <t>1</t>
        </is>
      </c>
      <c r="P169" s="2" t="inlineStr">
        <is>
          <t>날짜지정</t>
        </is>
      </c>
      <c r="Q169" s="2" t="inlineStr">
        <is>
          <t>2026-09-01</t>
        </is>
      </c>
      <c r="R169" s="2" t="inlineStr">
        <is>
          <t>날짜지정</t>
        </is>
      </c>
      <c r="S169" s="2" t="inlineStr">
        <is>
          <t>2026-10-31</t>
        </is>
      </c>
      <c r="T169" s="2" t="b">
        <v>0</v>
      </c>
    </row>
    <row r="170">
      <c r="A170" s="2" t="inlineStr">
        <is>
          <t>320284</t>
        </is>
      </c>
      <c r="B170" s="2" t="inlineStr">
        <is>
          <t>4035257</t>
        </is>
      </c>
      <c r="C170" s="2" t="inlineStr">
        <is>
          <t>테마파크</t>
        </is>
      </c>
      <c r="D170" s="2" t="inlineStr">
        <is>
          <t>테마파크</t>
        </is>
      </c>
      <c r="E170" s="2" t="inlineStr">
        <is>
          <t>동탄</t>
        </is>
      </c>
      <c r="F170" s="2" t="inlineStr">
        <is>
          <t>아르티스 테마파크</t>
        </is>
      </c>
      <c r="G170" s="2" t="inlineStr">
        <is>
          <t>7종 먹이주기 체험 풀세트 아르티스 테마파크(~12/31)</t>
        </is>
      </c>
      <c r="H170" s="2" t="inlineStr">
        <is>
          <t>대소공통</t>
        </is>
      </c>
      <c r="I170" s="2" t="inlineStr">
        <is>
          <t>주중+주말</t>
        </is>
      </c>
      <c r="J170" s="2" t="inlineStr">
        <is>
          <t>종일</t>
        </is>
      </c>
      <c r="K170" s="2" t="n">
        <v>7000</v>
      </c>
      <c r="L170" s="2" t="n">
        <v>6200</v>
      </c>
      <c r="M170" s="2" t="n">
        <v>11</v>
      </c>
      <c r="N170" s="2" t="n">
        <v>11.4</v>
      </c>
      <c r="O170" s="2" t="inlineStr">
        <is>
          <t>1</t>
        </is>
      </c>
      <c r="P170" s="2" t="inlineStr">
        <is>
          <t>구매일</t>
        </is>
      </c>
      <c r="Q170" s="2" t="inlineStr">
        <is>
          <t>0</t>
        </is>
      </c>
      <c r="R170" s="2" t="inlineStr">
        <is>
          <t>날짜지정</t>
        </is>
      </c>
      <c r="S170" s="2" t="inlineStr">
        <is>
          <t>2026-12-31</t>
        </is>
      </c>
      <c r="T170" s="2" t="b">
        <v>1</v>
      </c>
    </row>
    <row r="171">
      <c r="A171" s="2" t="inlineStr">
        <is>
          <t>320284</t>
        </is>
      </c>
      <c r="B171" s="2" t="inlineStr">
        <is>
          <t>4035255</t>
        </is>
      </c>
      <c r="C171" s="2" t="inlineStr">
        <is>
          <t>테마파크</t>
        </is>
      </c>
      <c r="D171" s="2" t="inlineStr">
        <is>
          <t>테마파크</t>
        </is>
      </c>
      <c r="E171" s="2" t="inlineStr">
        <is>
          <t>동탄</t>
        </is>
      </c>
      <c r="F171" s="2" t="inlineStr">
        <is>
          <t>아르티스 테마파크</t>
        </is>
      </c>
      <c r="G171" s="2" t="inlineStr">
        <is>
          <t>대인 입장권 아르티스 테마파크(~12/31)</t>
        </is>
      </c>
      <c r="H171" s="2" t="inlineStr">
        <is>
          <t>대인</t>
        </is>
      </c>
      <c r="I171" s="2" t="inlineStr">
        <is>
          <t>주중+주말</t>
        </is>
      </c>
      <c r="J171" s="2" t="inlineStr">
        <is>
          <t>종일</t>
        </is>
      </c>
      <c r="K171" s="2" t="n">
        <v>35000</v>
      </c>
      <c r="L171" s="2" t="n">
        <v>15200</v>
      </c>
      <c r="M171" s="2" t="n">
        <v>57</v>
      </c>
      <c r="N171" s="2" t="n">
        <v>56.6</v>
      </c>
      <c r="O171" s="2" t="inlineStr">
        <is>
          <t>1</t>
        </is>
      </c>
      <c r="P171" s="2" t="inlineStr">
        <is>
          <t>구매일</t>
        </is>
      </c>
      <c r="Q171" s="2" t="inlineStr">
        <is>
          <t>0</t>
        </is>
      </c>
      <c r="R171" s="2" t="inlineStr">
        <is>
          <t>날짜지정</t>
        </is>
      </c>
      <c r="S171" s="2" t="inlineStr">
        <is>
          <t>2026-12-31</t>
        </is>
      </c>
      <c r="T171" s="2" t="b">
        <v>0</v>
      </c>
    </row>
    <row r="172">
      <c r="A172" s="2" t="inlineStr">
        <is>
          <t>320284</t>
        </is>
      </c>
      <c r="B172" s="2" t="inlineStr">
        <is>
          <t>4035256</t>
        </is>
      </c>
      <c r="C172" s="2" t="inlineStr">
        <is>
          <t>테마파크</t>
        </is>
      </c>
      <c r="D172" s="2" t="inlineStr">
        <is>
          <t>테마파크</t>
        </is>
      </c>
      <c r="E172" s="2" t="inlineStr">
        <is>
          <t>동탄</t>
        </is>
      </c>
      <c r="F172" s="2" t="inlineStr">
        <is>
          <t>아르티스 테마파크</t>
        </is>
      </c>
      <c r="G172" s="2" t="inlineStr">
        <is>
          <t>소인 입장권 아르티스 테마파크(~12/31)</t>
        </is>
      </c>
      <c r="H172" s="2" t="inlineStr">
        <is>
          <t>소인</t>
        </is>
      </c>
      <c r="I172" s="2" t="inlineStr">
        <is>
          <t>주중+주말</t>
        </is>
      </c>
      <c r="J172" s="2" t="inlineStr">
        <is>
          <t>종일</t>
        </is>
      </c>
      <c r="K172" s="2" t="n">
        <v>32000</v>
      </c>
      <c r="L172" s="2" t="n">
        <v>17000</v>
      </c>
      <c r="M172" s="2" t="n">
        <v>47</v>
      </c>
      <c r="N172" s="2" t="n">
        <v>46.9</v>
      </c>
      <c r="O172" s="2" t="inlineStr">
        <is>
          <t>1</t>
        </is>
      </c>
      <c r="P172" s="2" t="inlineStr">
        <is>
          <t>구매일</t>
        </is>
      </c>
      <c r="Q172" s="2" t="inlineStr">
        <is>
          <t>0</t>
        </is>
      </c>
      <c r="R172" s="2" t="inlineStr">
        <is>
          <t>날짜지정</t>
        </is>
      </c>
      <c r="S172" s="2" t="inlineStr">
        <is>
          <t>2026-12-31</t>
        </is>
      </c>
      <c r="T172" s="2" t="b">
        <v>0</v>
      </c>
    </row>
    <row r="173">
      <c r="A173" s="2" t="inlineStr">
        <is>
          <t>309658</t>
        </is>
      </c>
      <c r="B173" s="2" t="inlineStr">
        <is>
          <t>3758058</t>
        </is>
      </c>
      <c r="C173" s="2" t="inlineStr">
        <is>
          <t>테마파크</t>
        </is>
      </c>
      <c r="D173" s="2" t="inlineStr">
        <is>
          <t>테마파크</t>
        </is>
      </c>
      <c r="E173" s="2" t="inlineStr">
        <is>
          <t>가평</t>
        </is>
      </c>
      <c r="F173" s="2" t="inlineStr">
        <is>
          <t>베고니아 새정원</t>
        </is>
      </c>
      <c r="G173" s="2" t="inlineStr">
        <is>
          <t>대인입장권 베고니아 새정원(~12/31)</t>
        </is>
      </c>
      <c r="H173" s="2" t="inlineStr">
        <is>
          <t>대인</t>
        </is>
      </c>
      <c r="I173" s="2" t="inlineStr">
        <is>
          <t>주중+주말</t>
        </is>
      </c>
      <c r="J173" s="2" t="inlineStr">
        <is>
          <t>종일</t>
        </is>
      </c>
      <c r="K173" s="2" t="n">
        <v>18000</v>
      </c>
      <c r="L173" s="2" t="n">
        <v>15000</v>
      </c>
      <c r="M173" s="2" t="n">
        <v>17</v>
      </c>
      <c r="N173" s="2" t="n">
        <v>16.7</v>
      </c>
      <c r="O173" s="2" t="inlineStr">
        <is>
          <t>1</t>
        </is>
      </c>
      <c r="P173" s="2" t="inlineStr">
        <is>
          <t>날짜지정</t>
        </is>
      </c>
      <c r="Q173" s="2" t="inlineStr">
        <is>
          <t>2026-03-24</t>
        </is>
      </c>
      <c r="R173" s="2" t="inlineStr">
        <is>
          <t>날짜지정</t>
        </is>
      </c>
      <c r="S173" s="2" t="inlineStr">
        <is>
          <t>2026-12-31</t>
        </is>
      </c>
      <c r="T173" s="2" t="b">
        <v>1</v>
      </c>
    </row>
    <row r="174">
      <c r="A174" s="2" t="inlineStr">
        <is>
          <t>309658</t>
        </is>
      </c>
      <c r="B174" s="2" t="inlineStr">
        <is>
          <t>3758059</t>
        </is>
      </c>
      <c r="C174" s="2" t="inlineStr">
        <is>
          <t>테마파크</t>
        </is>
      </c>
      <c r="D174" s="2" t="inlineStr">
        <is>
          <t>테마파크</t>
        </is>
      </c>
      <c r="E174" s="2" t="inlineStr">
        <is>
          <t>가평</t>
        </is>
      </c>
      <c r="F174" s="2" t="inlineStr">
        <is>
          <t>베고니아 새정원</t>
        </is>
      </c>
      <c r="G174" s="2" t="inlineStr">
        <is>
          <t>소인입장권 베고니아 새정원(~12/31)</t>
        </is>
      </c>
      <c r="H174" s="2" t="inlineStr">
        <is>
          <t>소인</t>
        </is>
      </c>
      <c r="I174" s="2" t="inlineStr">
        <is>
          <t>주중+주말</t>
        </is>
      </c>
      <c r="J174" s="2" t="inlineStr">
        <is>
          <t>종일</t>
        </is>
      </c>
      <c r="K174" s="2" t="n">
        <v>12500</v>
      </c>
      <c r="L174" s="2" t="n">
        <v>10500</v>
      </c>
      <c r="M174" s="2" t="n">
        <v>16</v>
      </c>
      <c r="N174" s="2" t="n">
        <v>16</v>
      </c>
      <c r="O174" s="2" t="inlineStr">
        <is>
          <t>1</t>
        </is>
      </c>
      <c r="P174" s="2" t="inlineStr">
        <is>
          <t>날짜지정</t>
        </is>
      </c>
      <c r="Q174" s="2" t="inlineStr">
        <is>
          <t>2026-03-24</t>
        </is>
      </c>
      <c r="R174" s="2" t="inlineStr">
        <is>
          <t>날짜지정</t>
        </is>
      </c>
      <c r="S174" s="2" t="inlineStr">
        <is>
          <t>2026-12-31</t>
        </is>
      </c>
      <c r="T174" s="2" t="b">
        <v>0</v>
      </c>
    </row>
    <row r="175">
      <c r="A175" s="2" t="inlineStr">
        <is>
          <t>328229</t>
        </is>
      </c>
      <c r="B175" s="2" t="inlineStr">
        <is>
          <t>4245734</t>
        </is>
      </c>
      <c r="C175" s="2" t="inlineStr">
        <is>
          <t>공연</t>
        </is>
      </c>
      <c r="D175" s="2" t="inlineStr">
        <is>
          <t>콘서트</t>
        </is>
      </c>
      <c r="E175" s="2" t="inlineStr">
        <is>
          <t>홍대</t>
        </is>
      </c>
      <c r="F175" s="2" t="inlineStr">
        <is>
          <t>쇼츠 -SHOWS -세계최초 액션 퍼포먼스펍-</t>
        </is>
      </c>
      <c r="G175" s="2" t="inlineStr">
        <is>
          <t>[홍대] 쇼츠 공연관람권 (토요일 19:30)</t>
        </is>
      </c>
      <c r="H175" s="2" t="inlineStr">
        <is>
          <t>대소공통</t>
        </is>
      </c>
      <c r="I175" s="2" t="inlineStr">
        <is>
          <t>주중+주말</t>
        </is>
      </c>
      <c r="J175" s="2" t="inlineStr"/>
      <c r="K175" s="2" t="n">
        <v>40000</v>
      </c>
      <c r="L175" s="2" t="n">
        <v>19000</v>
      </c>
      <c r="M175" s="2" t="n">
        <v>53</v>
      </c>
      <c r="N175" s="2" t="n">
        <v>52.5</v>
      </c>
      <c r="O175" s="2" t="inlineStr">
        <is>
          <t>1</t>
        </is>
      </c>
      <c r="P175" s="2" t="inlineStr">
        <is>
          <t>구매일</t>
        </is>
      </c>
      <c r="Q175" s="2" t="inlineStr">
        <is>
          <t>0</t>
        </is>
      </c>
      <c r="R175" s="2" t="inlineStr">
        <is>
          <t>구매일</t>
        </is>
      </c>
      <c r="S175" s="2" t="inlineStr">
        <is>
          <t>30</t>
        </is>
      </c>
      <c r="T175" s="2" t="b">
        <v>1</v>
      </c>
    </row>
    <row r="176">
      <c r="A176" s="2" t="inlineStr">
        <is>
          <t>330253</t>
        </is>
      </c>
      <c r="B176" s="2" t="inlineStr">
        <is>
          <t>4299534</t>
        </is>
      </c>
      <c r="C176" s="2" t="inlineStr">
        <is>
          <t>테마파크</t>
        </is>
      </c>
      <c r="D176" s="2" t="inlineStr">
        <is>
          <t>아쿠아리움</t>
        </is>
      </c>
      <c r="E176" s="2" t="inlineStr">
        <is>
          <t>부산</t>
        </is>
      </c>
      <c r="F176" s="2" t="inlineStr">
        <is>
          <t>씨라이프 부산아쿠아리움</t>
        </is>
      </c>
      <c r="G176" s="2" t="inlineStr">
        <is>
          <t>입장권 부산아쿠아리움(~11/30)</t>
        </is>
      </c>
      <c r="H176" s="2" t="inlineStr">
        <is>
          <t>대소공통</t>
        </is>
      </c>
      <c r="I176" s="2" t="inlineStr">
        <is>
          <t>주중+주말</t>
        </is>
      </c>
      <c r="J176" s="2" t="inlineStr">
        <is>
          <t>종일</t>
        </is>
      </c>
      <c r="K176" s="2" t="n">
        <v>31000</v>
      </c>
      <c r="L176" s="2" t="n">
        <v>23500</v>
      </c>
      <c r="M176" s="2" t="n">
        <v>24</v>
      </c>
      <c r="N176" s="2" t="n">
        <v>24.2</v>
      </c>
      <c r="O176" s="2" t="inlineStr">
        <is>
          <t>1</t>
        </is>
      </c>
      <c r="P176" s="2" t="inlineStr">
        <is>
          <t>날짜지정</t>
        </is>
      </c>
      <c r="Q176" s="2" t="inlineStr">
        <is>
          <t>2026-01-20</t>
        </is>
      </c>
      <c r="R176" s="2" t="inlineStr">
        <is>
          <t>날짜지정</t>
        </is>
      </c>
      <c r="S176" s="2" t="inlineStr">
        <is>
          <t>2026-11-30</t>
        </is>
      </c>
      <c r="T176" s="2" t="b">
        <v>1</v>
      </c>
    </row>
    <row r="177">
      <c r="A177" s="2" t="inlineStr">
        <is>
          <t>330253</t>
        </is>
      </c>
      <c r="B177" s="2" t="inlineStr">
        <is>
          <t>4299533</t>
        </is>
      </c>
      <c r="C177" s="2" t="inlineStr">
        <is>
          <t>테마파크</t>
        </is>
      </c>
      <c r="D177" s="2" t="inlineStr">
        <is>
          <t>아쿠아리움</t>
        </is>
      </c>
      <c r="E177" s="2" t="inlineStr">
        <is>
          <t>부산</t>
        </is>
      </c>
      <c r="F177" s="2" t="inlineStr">
        <is>
          <t>씨라이프 부산아쿠아리움</t>
        </is>
      </c>
      <c r="G177" s="2" t="inlineStr">
        <is>
          <t>브릭맨원더월드+부산아쿠아리움 PKG(~11/30)</t>
        </is>
      </c>
      <c r="H177" s="2" t="inlineStr">
        <is>
          <t>대소공통</t>
        </is>
      </c>
      <c r="I177" s="2" t="inlineStr">
        <is>
          <t>주중+주말</t>
        </is>
      </c>
      <c r="J177" s="2" t="inlineStr">
        <is>
          <t>종일</t>
        </is>
      </c>
      <c r="K177" s="2" t="n">
        <v>39500</v>
      </c>
      <c r="L177" s="2" t="n">
        <v>30000</v>
      </c>
      <c r="M177" s="2" t="n">
        <v>24</v>
      </c>
      <c r="N177" s="2" t="n">
        <v>24.1</v>
      </c>
      <c r="O177" s="2" t="inlineStr">
        <is>
          <t>1</t>
        </is>
      </c>
      <c r="P177" s="2" t="inlineStr">
        <is>
          <t>날짜지정</t>
        </is>
      </c>
      <c r="Q177" s="2" t="inlineStr">
        <is>
          <t>2026-01-20</t>
        </is>
      </c>
      <c r="R177" s="2" t="inlineStr">
        <is>
          <t>날짜지정</t>
        </is>
      </c>
      <c r="S177" s="2" t="inlineStr">
        <is>
          <t>2026-11-30</t>
        </is>
      </c>
      <c r="T177" s="2" t="b">
        <v>0</v>
      </c>
    </row>
    <row r="178">
      <c r="A178" s="2" t="inlineStr">
        <is>
          <t>327095</t>
        </is>
      </c>
      <c r="B178" s="2" t="inlineStr">
        <is>
          <t>4219745</t>
        </is>
      </c>
      <c r="C178" s="2" t="inlineStr">
        <is>
          <t>테마파크</t>
        </is>
      </c>
      <c r="D178" s="2" t="inlineStr">
        <is>
          <t>아쿠아리움</t>
        </is>
      </c>
      <c r="E178" s="2" t="inlineStr">
        <is>
          <t>일산</t>
        </is>
      </c>
      <c r="F178" s="2" t="inlineStr">
        <is>
          <t>일산아쿠아플라넷</t>
        </is>
      </c>
      <c r="G178" s="2" t="inlineStr">
        <is>
          <t>입장권 일산아쿠아플라넷</t>
        </is>
      </c>
      <c r="H178" s="2" t="inlineStr">
        <is>
          <t>대소공통</t>
        </is>
      </c>
      <c r="I178" s="2" t="inlineStr">
        <is>
          <t>주중+주말</t>
        </is>
      </c>
      <c r="J178" s="2" t="inlineStr">
        <is>
          <t>종일</t>
        </is>
      </c>
      <c r="K178" s="2" t="n">
        <v>31000</v>
      </c>
      <c r="L178" s="2" t="n">
        <v>22500</v>
      </c>
      <c r="M178" s="2" t="n">
        <v>27</v>
      </c>
      <c r="N178" s="2" t="n">
        <v>27.4</v>
      </c>
      <c r="O178" s="2" t="inlineStr">
        <is>
          <t>1</t>
        </is>
      </c>
      <c r="P178" s="2" t="inlineStr">
        <is>
          <t>구매일</t>
        </is>
      </c>
      <c r="Q178" s="2" t="inlineStr">
        <is>
          <t>0</t>
        </is>
      </c>
      <c r="R178" s="2" t="inlineStr">
        <is>
          <t>구매일</t>
        </is>
      </c>
      <c r="S178" s="2" t="inlineStr">
        <is>
          <t>60</t>
        </is>
      </c>
      <c r="T178" s="2" t="b">
        <v>1</v>
      </c>
    </row>
    <row r="179">
      <c r="A179" s="2" t="inlineStr">
        <is>
          <t>279057</t>
        </is>
      </c>
      <c r="B179" s="2" t="inlineStr">
        <is>
          <t>3115153</t>
        </is>
      </c>
      <c r="C179" s="2" t="inlineStr">
        <is>
          <t>테마파크</t>
        </is>
      </c>
      <c r="D179" s="2" t="inlineStr">
        <is>
          <t>아쿠아리움</t>
        </is>
      </c>
      <c r="E179" s="2" t="inlineStr">
        <is>
          <t>제주</t>
        </is>
      </c>
      <c r="F179" s="2" t="inlineStr">
        <is>
          <t>제주아쿠아플라넷</t>
        </is>
      </c>
      <c r="G179" s="2" t="inlineStr">
        <is>
          <t>이용권 제주아쿠아플라넷</t>
        </is>
      </c>
      <c r="H179" s="2" t="inlineStr">
        <is>
          <t>대소공통</t>
        </is>
      </c>
      <c r="I179" s="2" t="inlineStr">
        <is>
          <t>주중+주말</t>
        </is>
      </c>
      <c r="J179" s="2" t="inlineStr">
        <is>
          <t>종일</t>
        </is>
      </c>
      <c r="K179" s="2" t="n">
        <v>43700</v>
      </c>
      <c r="L179" s="2" t="n">
        <v>34300</v>
      </c>
      <c r="M179" s="2" t="n">
        <v>22</v>
      </c>
      <c r="N179" s="2" t="n">
        <v>21.5</v>
      </c>
      <c r="O179" s="2" t="inlineStr">
        <is>
          <t>1</t>
        </is>
      </c>
      <c r="P179" s="2" t="inlineStr">
        <is>
          <t>구매일</t>
        </is>
      </c>
      <c r="Q179" s="2" t="inlineStr">
        <is>
          <t>0</t>
        </is>
      </c>
      <c r="R179" s="2" t="inlineStr">
        <is>
          <t>구매일</t>
        </is>
      </c>
      <c r="S179" s="2" t="inlineStr">
        <is>
          <t>60</t>
        </is>
      </c>
      <c r="T179" s="2" t="b">
        <v>1</v>
      </c>
    </row>
    <row r="180">
      <c r="A180" s="2" t="inlineStr">
        <is>
          <t>330316</t>
        </is>
      </c>
      <c r="B180" s="2" t="inlineStr">
        <is>
          <t>4301580</t>
        </is>
      </c>
      <c r="C180" s="2" t="inlineStr">
        <is>
          <t>워터파크</t>
        </is>
      </c>
      <c r="D180" s="2" t="inlineStr">
        <is>
          <t>워터파크</t>
        </is>
      </c>
      <c r="E180" s="2" t="inlineStr">
        <is>
          <t>제주</t>
        </is>
      </c>
      <c r="F180" s="2" t="inlineStr">
        <is>
          <t>제주아쿠아나</t>
        </is>
      </c>
      <c r="G180" s="2" t="inlineStr">
        <is>
          <t>이용권 제주아쿠아나(~11/30)</t>
        </is>
      </c>
      <c r="H180" s="2" t="inlineStr">
        <is>
          <t>대소공통</t>
        </is>
      </c>
      <c r="I180" s="2" t="inlineStr">
        <is>
          <t>주중+주말</t>
        </is>
      </c>
      <c r="J180" s="2" t="inlineStr">
        <is>
          <t>종일</t>
        </is>
      </c>
      <c r="K180" s="2" t="n">
        <v>35000</v>
      </c>
      <c r="L180" s="2" t="n">
        <v>18000</v>
      </c>
      <c r="M180" s="2" t="n">
        <v>49</v>
      </c>
      <c r="N180" s="2" t="n">
        <v>48.6</v>
      </c>
      <c r="O180" s="2" t="inlineStr">
        <is>
          <t>1</t>
        </is>
      </c>
      <c r="P180" s="2" t="inlineStr">
        <is>
          <t>날짜지정</t>
        </is>
      </c>
      <c r="Q180" s="2" t="inlineStr">
        <is>
          <t>2026-06-29</t>
        </is>
      </c>
      <c r="R180" s="2" t="inlineStr">
        <is>
          <t>날짜지정</t>
        </is>
      </c>
      <c r="S180" s="2" t="inlineStr">
        <is>
          <t>2026-11-30</t>
        </is>
      </c>
      <c r="T180" s="2" t="b">
        <v>1</v>
      </c>
    </row>
    <row r="181">
      <c r="A181" s="2" t="inlineStr">
        <is>
          <t>328292</t>
        </is>
      </c>
      <c r="B181" s="2" t="inlineStr">
        <is>
          <t>4246162</t>
        </is>
      </c>
      <c r="C181" s="2" t="inlineStr">
        <is>
          <t>워터파크</t>
        </is>
      </c>
      <c r="D181" s="2" t="inlineStr">
        <is>
          <t>워터파크</t>
        </is>
      </c>
      <c r="E181" s="2" t="inlineStr">
        <is>
          <t>부산</t>
        </is>
      </c>
      <c r="F181" s="2" t="inlineStr">
        <is>
          <t>센텀 스파랜드</t>
        </is>
      </c>
      <c r="G181" s="2" t="inlineStr">
        <is>
          <t>4시간이용권 센텀스파랜드(~10/29)</t>
        </is>
      </c>
      <c r="H181" s="2" t="inlineStr">
        <is>
          <t>대소공통</t>
        </is>
      </c>
      <c r="I181" s="2" t="inlineStr">
        <is>
          <t>주중+주말</t>
        </is>
      </c>
      <c r="J181" s="2" t="inlineStr"/>
      <c r="K181" s="2" t="n">
        <v>26000</v>
      </c>
      <c r="L181" s="2" t="n">
        <v>20500</v>
      </c>
      <c r="M181" s="2" t="n">
        <v>21</v>
      </c>
      <c r="N181" s="2" t="n">
        <v>21.2</v>
      </c>
      <c r="O181" s="2" t="inlineStr">
        <is>
          <t>1</t>
        </is>
      </c>
      <c r="P181" s="2" t="inlineStr">
        <is>
          <t>날짜지정</t>
        </is>
      </c>
      <c r="Q181" s="2" t="inlineStr">
        <is>
          <t>2026-07-01</t>
        </is>
      </c>
      <c r="R181" s="2" t="inlineStr">
        <is>
          <t>날짜지정</t>
        </is>
      </c>
      <c r="S181" s="2" t="inlineStr">
        <is>
          <t>2026-10-29</t>
        </is>
      </c>
      <c r="T181" s="2" t="b">
        <v>1</v>
      </c>
    </row>
    <row r="182">
      <c r="A182" s="2" t="inlineStr">
        <is>
          <t>328481</t>
        </is>
      </c>
      <c r="B182" s="2" t="inlineStr">
        <is>
          <t>4255678</t>
        </is>
      </c>
      <c r="C182" s="2" t="inlineStr">
        <is>
          <t>숙박</t>
        </is>
      </c>
      <c r="D182" s="2" t="inlineStr">
        <is>
          <t>숙박</t>
        </is>
      </c>
      <c r="E182" s="2" t="inlineStr">
        <is>
          <t>아산</t>
        </is>
      </c>
      <c r="F182" s="2" t="inlineStr">
        <is>
          <t>파라다이스 스파도고 캐빈파크</t>
        </is>
      </c>
      <c r="G182" s="2" t="inlineStr">
        <is>
          <t>디럭스 주중 하반기 로우시즌 ROOM ONLY 파라다이스스파도고캐빈파크</t>
        </is>
      </c>
      <c r="H182" s="2" t="inlineStr"/>
      <c r="I182" s="2" t="inlineStr">
        <is>
          <t>주중</t>
        </is>
      </c>
      <c r="J182" s="2" t="inlineStr">
        <is>
          <t>종일</t>
        </is>
      </c>
      <c r="K182" s="2" t="n">
        <v>160000</v>
      </c>
      <c r="L182" s="2" t="n">
        <v>156000</v>
      </c>
      <c r="M182" s="2" t="n">
        <v>3</v>
      </c>
      <c r="N182" s="2" t="n">
        <v>2.5</v>
      </c>
      <c r="O182" s="2" t="inlineStr">
        <is>
          <t>1</t>
        </is>
      </c>
      <c r="P182" s="2" t="inlineStr">
        <is>
          <t>구매일</t>
        </is>
      </c>
      <c r="Q182" s="2" t="inlineStr">
        <is>
          <t>0</t>
        </is>
      </c>
      <c r="R182" s="2" t="inlineStr">
        <is>
          <t>날짜지정</t>
        </is>
      </c>
      <c r="S182" s="2" t="inlineStr">
        <is>
          <t>2026-10-31</t>
        </is>
      </c>
      <c r="T182" s="2" t="b">
        <v>1</v>
      </c>
    </row>
    <row r="183">
      <c r="A183" s="2" t="inlineStr">
        <is>
          <t>328481</t>
        </is>
      </c>
      <c r="B183" s="2" t="inlineStr">
        <is>
          <t>4255680</t>
        </is>
      </c>
      <c r="C183" s="2" t="inlineStr">
        <is>
          <t>숙박</t>
        </is>
      </c>
      <c r="D183" s="2" t="inlineStr">
        <is>
          <t>숙박</t>
        </is>
      </c>
      <c r="E183" s="2" t="inlineStr">
        <is>
          <t>아산</t>
        </is>
      </c>
      <c r="F183" s="2" t="inlineStr">
        <is>
          <t>파라다이스 스파도고 캐빈파크</t>
        </is>
      </c>
      <c r="G183" s="2" t="inlineStr">
        <is>
          <t>하이브로우 주중 하반기 로우시즌 ROOM ONLY 파라다이스스파도고캐빈파크</t>
        </is>
      </c>
      <c r="H183" s="2" t="inlineStr"/>
      <c r="I183" s="2" t="inlineStr">
        <is>
          <t>주중</t>
        </is>
      </c>
      <c r="J183" s="2" t="inlineStr">
        <is>
          <t>종일</t>
        </is>
      </c>
      <c r="K183" s="2" t="n">
        <v>170000</v>
      </c>
      <c r="L183" s="2" t="n">
        <v>165000</v>
      </c>
      <c r="M183" s="2" t="n">
        <v>3</v>
      </c>
      <c r="N183" s="2" t="n">
        <v>2.9</v>
      </c>
      <c r="O183" s="2" t="inlineStr">
        <is>
          <t>1</t>
        </is>
      </c>
      <c r="P183" s="2" t="inlineStr">
        <is>
          <t>구매일</t>
        </is>
      </c>
      <c r="Q183" s="2" t="inlineStr">
        <is>
          <t>0</t>
        </is>
      </c>
      <c r="R183" s="2" t="inlineStr">
        <is>
          <t>날짜지정</t>
        </is>
      </c>
      <c r="S183" s="2" t="inlineStr">
        <is>
          <t>2026-10-31</t>
        </is>
      </c>
      <c r="T183" s="2" t="b">
        <v>0</v>
      </c>
    </row>
    <row r="184">
      <c r="A184" s="2" t="inlineStr">
        <is>
          <t>328481</t>
        </is>
      </c>
      <c r="B184" s="2" t="inlineStr">
        <is>
          <t>4255674</t>
        </is>
      </c>
      <c r="C184" s="2" t="inlineStr">
        <is>
          <t>숙박</t>
        </is>
      </c>
      <c r="D184" s="2" t="inlineStr">
        <is>
          <t>숙박</t>
        </is>
      </c>
      <c r="E184" s="2" t="inlineStr">
        <is>
          <t>아산</t>
        </is>
      </c>
      <c r="F184" s="2" t="inlineStr">
        <is>
          <t>파라다이스 스파도고 캐빈파크</t>
        </is>
      </c>
      <c r="G184" s="2" t="inlineStr">
        <is>
          <t>디럭스 주중 하반기 로우시즌 파라다이스스파도고캐빈파크</t>
        </is>
      </c>
      <c r="H184" s="2" t="inlineStr"/>
      <c r="I184" s="2" t="inlineStr">
        <is>
          <t>주중</t>
        </is>
      </c>
      <c r="J184" s="2" t="inlineStr">
        <is>
          <t>종일</t>
        </is>
      </c>
      <c r="K184" s="2" t="n">
        <v>210000</v>
      </c>
      <c r="L184" s="2" t="n">
        <v>200000</v>
      </c>
      <c r="M184" s="2" t="n">
        <v>5</v>
      </c>
      <c r="N184" s="2" t="n">
        <v>4.8</v>
      </c>
      <c r="O184" s="2" t="inlineStr">
        <is>
          <t>1</t>
        </is>
      </c>
      <c r="P184" s="2" t="inlineStr">
        <is>
          <t>구매일</t>
        </is>
      </c>
      <c r="Q184" s="2" t="inlineStr">
        <is>
          <t>0</t>
        </is>
      </c>
      <c r="R184" s="2" t="inlineStr">
        <is>
          <t>날짜지정</t>
        </is>
      </c>
      <c r="S184" s="2" t="inlineStr">
        <is>
          <t>2026-10-31</t>
        </is>
      </c>
      <c r="T184" s="2" t="b">
        <v>0</v>
      </c>
    </row>
    <row r="185">
      <c r="A185" s="2" t="inlineStr">
        <is>
          <t>328481</t>
        </is>
      </c>
      <c r="B185" s="2" t="inlineStr">
        <is>
          <t>4255676</t>
        </is>
      </c>
      <c r="C185" s="2" t="inlineStr">
        <is>
          <t>숙박</t>
        </is>
      </c>
      <c r="D185" s="2" t="inlineStr">
        <is>
          <t>숙박</t>
        </is>
      </c>
      <c r="E185" s="2" t="inlineStr">
        <is>
          <t>아산</t>
        </is>
      </c>
      <c r="F185" s="2" t="inlineStr">
        <is>
          <t>파라다이스 스파도고 캐빈파크</t>
        </is>
      </c>
      <c r="G185" s="2" t="inlineStr">
        <is>
          <t>하이브로우 주중 하반기 로우시즌 파라다이스스파도고캐빈파크</t>
        </is>
      </c>
      <c r="H185" s="2" t="inlineStr"/>
      <c r="I185" s="2" t="inlineStr">
        <is>
          <t>주중</t>
        </is>
      </c>
      <c r="J185" s="2" t="inlineStr">
        <is>
          <t>종일</t>
        </is>
      </c>
      <c r="K185" s="2" t="n">
        <v>220000</v>
      </c>
      <c r="L185" s="2" t="n">
        <v>209000</v>
      </c>
      <c r="M185" s="2" t="n">
        <v>5</v>
      </c>
      <c r="N185" s="2" t="n">
        <v>5</v>
      </c>
      <c r="O185" s="2" t="inlineStr">
        <is>
          <t>1</t>
        </is>
      </c>
      <c r="P185" s="2" t="inlineStr">
        <is>
          <t>구매일</t>
        </is>
      </c>
      <c r="Q185" s="2" t="inlineStr">
        <is>
          <t>0</t>
        </is>
      </c>
      <c r="R185" s="2" t="inlineStr">
        <is>
          <t>날짜지정</t>
        </is>
      </c>
      <c r="S185" s="2" t="inlineStr">
        <is>
          <t>2026-10-31</t>
        </is>
      </c>
      <c r="T185" s="2" t="b">
        <v>0</v>
      </c>
    </row>
    <row r="186">
      <c r="A186" s="2" t="inlineStr">
        <is>
          <t>328481</t>
        </is>
      </c>
      <c r="B186" s="2" t="inlineStr">
        <is>
          <t>4255679</t>
        </is>
      </c>
      <c r="C186" s="2" t="inlineStr">
        <is>
          <t>숙박</t>
        </is>
      </c>
      <c r="D186" s="2" t="inlineStr">
        <is>
          <t>숙박</t>
        </is>
      </c>
      <c r="E186" s="2" t="inlineStr">
        <is>
          <t>아산</t>
        </is>
      </c>
      <c r="F186" s="2" t="inlineStr">
        <is>
          <t>파라다이스 스파도고 캐빈파크</t>
        </is>
      </c>
      <c r="G186" s="2" t="inlineStr">
        <is>
          <t>디럭스 주말 하반기 로우시즌 ROOM ONLY 파라다이스스파도고캐빈파크</t>
        </is>
      </c>
      <c r="H186" s="2" t="inlineStr"/>
      <c r="I186" s="2" t="inlineStr">
        <is>
          <t>주말</t>
        </is>
      </c>
      <c r="J186" s="2" t="inlineStr">
        <is>
          <t>종일</t>
        </is>
      </c>
      <c r="K186" s="2" t="n">
        <v>235500</v>
      </c>
      <c r="L186" s="2" t="n">
        <v>228000</v>
      </c>
      <c r="M186" s="2" t="n">
        <v>3</v>
      </c>
      <c r="N186" s="2" t="n">
        <v>3.2</v>
      </c>
      <c r="O186" s="2" t="inlineStr">
        <is>
          <t>1</t>
        </is>
      </c>
      <c r="P186" s="2" t="inlineStr">
        <is>
          <t>구매일</t>
        </is>
      </c>
      <c r="Q186" s="2" t="inlineStr">
        <is>
          <t>0</t>
        </is>
      </c>
      <c r="R186" s="2" t="inlineStr">
        <is>
          <t>날짜지정</t>
        </is>
      </c>
      <c r="S186" s="2" t="inlineStr">
        <is>
          <t>2026-10-31</t>
        </is>
      </c>
      <c r="T186" s="2" t="b">
        <v>0</v>
      </c>
    </row>
    <row r="187">
      <c r="A187" s="2" t="inlineStr">
        <is>
          <t>328481</t>
        </is>
      </c>
      <c r="B187" s="2" t="inlineStr">
        <is>
          <t>4255681</t>
        </is>
      </c>
      <c r="C187" s="2" t="inlineStr">
        <is>
          <t>숙박</t>
        </is>
      </c>
      <c r="D187" s="2" t="inlineStr">
        <is>
          <t>숙박</t>
        </is>
      </c>
      <c r="E187" s="2" t="inlineStr">
        <is>
          <t>아산</t>
        </is>
      </c>
      <c r="F187" s="2" t="inlineStr">
        <is>
          <t>파라다이스 스파도고 캐빈파크</t>
        </is>
      </c>
      <c r="G187" s="2" t="inlineStr">
        <is>
          <t>하이브로우 주말 하반기 로우시즌 ROOM ONLY 파라다이스스파도고캐빈파크</t>
        </is>
      </c>
      <c r="H187" s="2" t="inlineStr"/>
      <c r="I187" s="2" t="inlineStr">
        <is>
          <t>주말</t>
        </is>
      </c>
      <c r="J187" s="2" t="inlineStr">
        <is>
          <t>종일</t>
        </is>
      </c>
      <c r="K187" s="2" t="n">
        <v>244000</v>
      </c>
      <c r="L187" s="2" t="n">
        <v>234000</v>
      </c>
      <c r="M187" s="2" t="n">
        <v>4</v>
      </c>
      <c r="N187" s="2" t="n">
        <v>4.1</v>
      </c>
      <c r="O187" s="2" t="inlineStr">
        <is>
          <t>1</t>
        </is>
      </c>
      <c r="P187" s="2" t="inlineStr">
        <is>
          <t>구매일</t>
        </is>
      </c>
      <c r="Q187" s="2" t="inlineStr">
        <is>
          <t>0</t>
        </is>
      </c>
      <c r="R187" s="2" t="inlineStr">
        <is>
          <t>날짜지정</t>
        </is>
      </c>
      <c r="S187" s="2" t="inlineStr">
        <is>
          <t>2026-10-31</t>
        </is>
      </c>
      <c r="T187" s="2" t="b">
        <v>0</v>
      </c>
    </row>
    <row r="188">
      <c r="A188" s="2" t="inlineStr">
        <is>
          <t>328481</t>
        </is>
      </c>
      <c r="B188" s="2" t="inlineStr">
        <is>
          <t>4255675</t>
        </is>
      </c>
      <c r="C188" s="2" t="inlineStr">
        <is>
          <t>숙박</t>
        </is>
      </c>
      <c r="D188" s="2" t="inlineStr">
        <is>
          <t>숙박</t>
        </is>
      </c>
      <c r="E188" s="2" t="inlineStr">
        <is>
          <t>아산</t>
        </is>
      </c>
      <c r="F188" s="2" t="inlineStr">
        <is>
          <t>파라다이스 스파도고 캐빈파크</t>
        </is>
      </c>
      <c r="G188" s="2" t="inlineStr">
        <is>
          <t>디럭스 주말 하반기 로우시즌 파라다이스스파도고캐빈파크</t>
        </is>
      </c>
      <c r="H188" s="2" t="inlineStr"/>
      <c r="I188" s="2" t="inlineStr">
        <is>
          <t>주말</t>
        </is>
      </c>
      <c r="J188" s="2" t="inlineStr">
        <is>
          <t>종일</t>
        </is>
      </c>
      <c r="K188" s="2" t="n">
        <v>310000</v>
      </c>
      <c r="L188" s="2" t="n">
        <v>293000</v>
      </c>
      <c r="M188" s="2" t="n">
        <v>5</v>
      </c>
      <c r="N188" s="2" t="n">
        <v>5.5</v>
      </c>
      <c r="O188" s="2" t="inlineStr">
        <is>
          <t>1</t>
        </is>
      </c>
      <c r="P188" s="2" t="inlineStr">
        <is>
          <t>구매일</t>
        </is>
      </c>
      <c r="Q188" s="2" t="inlineStr">
        <is>
          <t>0</t>
        </is>
      </c>
      <c r="R188" s="2" t="inlineStr">
        <is>
          <t>날짜지정</t>
        </is>
      </c>
      <c r="S188" s="2" t="inlineStr">
        <is>
          <t>2026-10-31</t>
        </is>
      </c>
      <c r="T188" s="2" t="b">
        <v>0</v>
      </c>
    </row>
    <row r="189">
      <c r="A189" s="2" t="inlineStr">
        <is>
          <t>328481</t>
        </is>
      </c>
      <c r="B189" s="2" t="inlineStr">
        <is>
          <t>4255677</t>
        </is>
      </c>
      <c r="C189" s="2" t="inlineStr">
        <is>
          <t>숙박</t>
        </is>
      </c>
      <c r="D189" s="2" t="inlineStr">
        <is>
          <t>숙박</t>
        </is>
      </c>
      <c r="E189" s="2" t="inlineStr">
        <is>
          <t>아산</t>
        </is>
      </c>
      <c r="F189" s="2" t="inlineStr">
        <is>
          <t>파라다이스 스파도고 캐빈파크</t>
        </is>
      </c>
      <c r="G189" s="2" t="inlineStr">
        <is>
          <t>하이브로우 주말 하반기 로우시즌 파라다이스스파도고캐빈파크</t>
        </is>
      </c>
      <c r="H189" s="2" t="inlineStr"/>
      <c r="I189" s="2" t="inlineStr">
        <is>
          <t>주말</t>
        </is>
      </c>
      <c r="J189" s="2" t="inlineStr">
        <is>
          <t>종일</t>
        </is>
      </c>
      <c r="K189" s="2" t="n">
        <v>320000</v>
      </c>
      <c r="L189" s="2" t="n">
        <v>302000</v>
      </c>
      <c r="M189" s="2" t="n">
        <v>6</v>
      </c>
      <c r="N189" s="2" t="n">
        <v>5.6</v>
      </c>
      <c r="O189" s="2" t="inlineStr">
        <is>
          <t>1</t>
        </is>
      </c>
      <c r="P189" s="2" t="inlineStr">
        <is>
          <t>구매일</t>
        </is>
      </c>
      <c r="Q189" s="2" t="inlineStr">
        <is>
          <t>0</t>
        </is>
      </c>
      <c r="R189" s="2" t="inlineStr">
        <is>
          <t>날짜지정</t>
        </is>
      </c>
      <c r="S189" s="2" t="inlineStr">
        <is>
          <t>2026-10-31</t>
        </is>
      </c>
      <c r="T189" s="2" t="b">
        <v>0</v>
      </c>
    </row>
    <row r="190">
      <c r="A190" s="2" t="inlineStr">
        <is>
          <t>328799</t>
        </is>
      </c>
      <c r="B190" s="2" t="inlineStr">
        <is>
          <t>4263829</t>
        </is>
      </c>
      <c r="C190" s="2" t="inlineStr">
        <is>
          <t>테마파크</t>
        </is>
      </c>
      <c r="D190" s="2" t="inlineStr">
        <is>
          <t>테마파크</t>
        </is>
      </c>
      <c r="E190" s="2" t="inlineStr">
        <is>
          <t>세종</t>
        </is>
      </c>
      <c r="F190" s="2" t="inlineStr">
        <is>
          <t>세종공룡월드</t>
        </is>
      </c>
      <c r="G190" s="2" t="inlineStr">
        <is>
          <t>주중종일권 세종공룡월드(~10/11)</t>
        </is>
      </c>
      <c r="H190" s="2" t="inlineStr">
        <is>
          <t>대소공통</t>
        </is>
      </c>
      <c r="I190" s="2" t="inlineStr">
        <is>
          <t>주중</t>
        </is>
      </c>
      <c r="J190" s="2" t="inlineStr">
        <is>
          <t>종일</t>
        </is>
      </c>
      <c r="K190" s="2" t="n">
        <v>18000</v>
      </c>
      <c r="L190" s="2" t="n">
        <v>14400</v>
      </c>
      <c r="M190" s="2" t="n">
        <v>20</v>
      </c>
      <c r="N190" s="2" t="n">
        <v>20</v>
      </c>
      <c r="O190" s="2" t="inlineStr">
        <is>
          <t>1</t>
        </is>
      </c>
      <c r="P190" s="2" t="inlineStr">
        <is>
          <t>구매일</t>
        </is>
      </c>
      <c r="Q190" s="2" t="inlineStr">
        <is>
          <t>0</t>
        </is>
      </c>
      <c r="R190" s="2" t="inlineStr">
        <is>
          <t>날짜지정</t>
        </is>
      </c>
      <c r="S190" s="2" t="inlineStr">
        <is>
          <t>2026-10-11</t>
        </is>
      </c>
      <c r="T190" s="2" t="b">
        <v>1</v>
      </c>
    </row>
    <row r="191">
      <c r="A191" s="2" t="inlineStr">
        <is>
          <t>328799</t>
        </is>
      </c>
      <c r="B191" s="2" t="inlineStr">
        <is>
          <t>4263830</t>
        </is>
      </c>
      <c r="C191" s="2" t="inlineStr">
        <is>
          <t>테마파크</t>
        </is>
      </c>
      <c r="D191" s="2" t="inlineStr">
        <is>
          <t>테마파크</t>
        </is>
      </c>
      <c r="E191" s="2" t="inlineStr">
        <is>
          <t>세종</t>
        </is>
      </c>
      <c r="F191" s="2" t="inlineStr">
        <is>
          <t>세종공룡월드</t>
        </is>
      </c>
      <c r="G191" s="2" t="inlineStr">
        <is>
          <t>주말/공휴일 종일권 세종공룡월드(~10/11)</t>
        </is>
      </c>
      <c r="H191" s="2" t="inlineStr">
        <is>
          <t>대소공통</t>
        </is>
      </c>
      <c r="I191" s="2" t="inlineStr">
        <is>
          <t>주말</t>
        </is>
      </c>
      <c r="J191" s="2" t="inlineStr">
        <is>
          <t>종일</t>
        </is>
      </c>
      <c r="K191" s="2" t="n">
        <v>20000</v>
      </c>
      <c r="L191" s="2" t="n">
        <v>16200</v>
      </c>
      <c r="M191" s="2" t="n">
        <v>19</v>
      </c>
      <c r="N191" s="2" t="n">
        <v>19</v>
      </c>
      <c r="O191" s="2" t="inlineStr">
        <is>
          <t>1</t>
        </is>
      </c>
      <c r="P191" s="2" t="inlineStr">
        <is>
          <t>구매일</t>
        </is>
      </c>
      <c r="Q191" s="2" t="inlineStr">
        <is>
          <t>0</t>
        </is>
      </c>
      <c r="R191" s="2" t="inlineStr">
        <is>
          <t>날짜지정</t>
        </is>
      </c>
      <c r="S191" s="2" t="inlineStr">
        <is>
          <t>2026-10-11</t>
        </is>
      </c>
      <c r="T191" s="2" t="b">
        <v>0</v>
      </c>
    </row>
    <row r="192">
      <c r="A192" s="2" t="inlineStr">
        <is>
          <t>329686</t>
        </is>
      </c>
      <c r="B192" s="2" t="inlineStr">
        <is>
          <t>4291181</t>
        </is>
      </c>
      <c r="C192" s="2" t="inlineStr">
        <is>
          <t>테마파크</t>
        </is>
      </c>
      <c r="D192" s="2" t="inlineStr">
        <is>
          <t>테마파크</t>
        </is>
      </c>
      <c r="E192" s="2" t="inlineStr">
        <is>
          <t>시흥</t>
        </is>
      </c>
      <c r="F192" s="2" t="inlineStr">
        <is>
          <t>시흥공룡월드</t>
        </is>
      </c>
      <c r="G192" s="2" t="inlineStr">
        <is>
          <t>주중 종일권 시흥공룡월드(~12/31)</t>
        </is>
      </c>
      <c r="H192" s="2" t="inlineStr">
        <is>
          <t>대소공통</t>
        </is>
      </c>
      <c r="I192" s="2" t="inlineStr">
        <is>
          <t>주중</t>
        </is>
      </c>
      <c r="J192" s="2" t="inlineStr">
        <is>
          <t>종일</t>
        </is>
      </c>
      <c r="K192" s="2" t="n">
        <v>25000</v>
      </c>
      <c r="L192" s="2" t="n">
        <v>19800</v>
      </c>
      <c r="M192" s="2" t="n">
        <v>21</v>
      </c>
      <c r="N192" s="2" t="n">
        <v>20.8</v>
      </c>
      <c r="O192" s="2" t="inlineStr">
        <is>
          <t>1</t>
        </is>
      </c>
      <c r="P192" s="2" t="inlineStr">
        <is>
          <t>구매일</t>
        </is>
      </c>
      <c r="Q192" s="2" t="inlineStr">
        <is>
          <t>0</t>
        </is>
      </c>
      <c r="R192" s="2" t="inlineStr">
        <is>
          <t>날짜지정</t>
        </is>
      </c>
      <c r="S192" s="2" t="inlineStr">
        <is>
          <t>2026-12-31</t>
        </is>
      </c>
      <c r="T192" s="2" t="b">
        <v>1</v>
      </c>
    </row>
    <row r="193">
      <c r="A193" s="2" t="inlineStr">
        <is>
          <t>329686</t>
        </is>
      </c>
      <c r="B193" s="2" t="inlineStr">
        <is>
          <t>4291182</t>
        </is>
      </c>
      <c r="C193" s="2" t="inlineStr">
        <is>
          <t>테마파크</t>
        </is>
      </c>
      <c r="D193" s="2" t="inlineStr">
        <is>
          <t>테마파크</t>
        </is>
      </c>
      <c r="E193" s="2" t="inlineStr">
        <is>
          <t>시흥</t>
        </is>
      </c>
      <c r="F193" s="2" t="inlineStr">
        <is>
          <t>시흥공룡월드</t>
        </is>
      </c>
      <c r="G193" s="2" t="inlineStr">
        <is>
          <t>주말/공휴일 종일권 시흥공룡월드(~12/31)</t>
        </is>
      </c>
      <c r="H193" s="2" t="inlineStr">
        <is>
          <t>대소공통</t>
        </is>
      </c>
      <c r="I193" s="2" t="inlineStr">
        <is>
          <t>주말</t>
        </is>
      </c>
      <c r="J193" s="2" t="inlineStr">
        <is>
          <t>종일</t>
        </is>
      </c>
      <c r="K193" s="2" t="n">
        <v>28000</v>
      </c>
      <c r="L193" s="2" t="n">
        <v>22500</v>
      </c>
      <c r="M193" s="2" t="n">
        <v>20</v>
      </c>
      <c r="N193" s="2" t="n">
        <v>19.6</v>
      </c>
      <c r="O193" s="2" t="inlineStr">
        <is>
          <t>1</t>
        </is>
      </c>
      <c r="P193" s="2" t="inlineStr">
        <is>
          <t>구매일</t>
        </is>
      </c>
      <c r="Q193" s="2" t="inlineStr">
        <is>
          <t>0</t>
        </is>
      </c>
      <c r="R193" s="2" t="inlineStr">
        <is>
          <t>날짜지정</t>
        </is>
      </c>
      <c r="S193" s="2" t="inlineStr">
        <is>
          <t>2026-12-31</t>
        </is>
      </c>
      <c r="T193" s="2" t="b">
        <v>0</v>
      </c>
    </row>
    <row r="194">
      <c r="A194" s="2" t="inlineStr">
        <is>
          <t>329749</t>
        </is>
      </c>
      <c r="B194" s="2" t="inlineStr">
        <is>
          <t>4291398</t>
        </is>
      </c>
      <c r="C194" s="2" t="inlineStr">
        <is>
          <t>테마파크</t>
        </is>
      </c>
      <c r="D194" s="2" t="inlineStr">
        <is>
          <t>테마파크</t>
        </is>
      </c>
      <c r="E194" s="2" t="inlineStr">
        <is>
          <t>아산</t>
        </is>
      </c>
      <c r="F194" s="2" t="inlineStr">
        <is>
          <t>아산공룡월드</t>
        </is>
      </c>
      <c r="G194" s="2" t="inlineStr">
        <is>
          <t>주중·주말공통 종일권 아산공룡월드(~12/31)</t>
        </is>
      </c>
      <c r="H194" s="2" t="inlineStr">
        <is>
          <t>대소공통</t>
        </is>
      </c>
      <c r="I194" s="2" t="inlineStr">
        <is>
          <t>주중+주말</t>
        </is>
      </c>
      <c r="J194" s="2" t="inlineStr">
        <is>
          <t>종일</t>
        </is>
      </c>
      <c r="K194" s="2" t="n">
        <v>20000</v>
      </c>
      <c r="L194" s="2" t="n">
        <v>16200</v>
      </c>
      <c r="M194" s="2" t="n">
        <v>19</v>
      </c>
      <c r="N194" s="2" t="n">
        <v>19</v>
      </c>
      <c r="O194" s="2" t="inlineStr">
        <is>
          <t>1</t>
        </is>
      </c>
      <c r="P194" s="2" t="inlineStr">
        <is>
          <t>구매일</t>
        </is>
      </c>
      <c r="Q194" s="2" t="inlineStr">
        <is>
          <t>0</t>
        </is>
      </c>
      <c r="R194" s="2" t="inlineStr">
        <is>
          <t>날짜지정</t>
        </is>
      </c>
      <c r="S194" s="2" t="inlineStr">
        <is>
          <t>2026-12-31</t>
        </is>
      </c>
      <c r="T194" s="2" t="b">
        <v>1</v>
      </c>
    </row>
    <row r="195">
      <c r="A195" s="2" t="inlineStr">
        <is>
          <t>330064</t>
        </is>
      </c>
      <c r="B195" s="2" t="inlineStr">
        <is>
          <t>4293611</t>
        </is>
      </c>
      <c r="C195" s="2" t="inlineStr">
        <is>
          <t>테마파크</t>
        </is>
      </c>
      <c r="D195" s="2" t="inlineStr">
        <is>
          <t>테마파크</t>
        </is>
      </c>
      <c r="E195" s="2" t="inlineStr">
        <is>
          <t>용인</t>
        </is>
      </c>
      <c r="F195" s="2" t="inlineStr">
        <is>
          <t>용인공룡월드</t>
        </is>
      </c>
      <c r="G195" s="2" t="inlineStr">
        <is>
          <t>주중종일권 용인공룡월드(~12/31)</t>
        </is>
      </c>
      <c r="H195" s="2" t="inlineStr">
        <is>
          <t>대소공통</t>
        </is>
      </c>
      <c r="I195" s="2" t="inlineStr">
        <is>
          <t>주중</t>
        </is>
      </c>
      <c r="J195" s="2" t="inlineStr">
        <is>
          <t>종일</t>
        </is>
      </c>
      <c r="K195" s="2" t="n">
        <v>22000</v>
      </c>
      <c r="L195" s="2" t="n">
        <v>18000</v>
      </c>
      <c r="M195" s="2" t="n">
        <v>18</v>
      </c>
      <c r="N195" s="2" t="n">
        <v>18.2</v>
      </c>
      <c r="O195" s="2" t="inlineStr">
        <is>
          <t>1</t>
        </is>
      </c>
      <c r="P195" s="2" t="inlineStr">
        <is>
          <t>구매일</t>
        </is>
      </c>
      <c r="Q195" s="2" t="inlineStr">
        <is>
          <t>0</t>
        </is>
      </c>
      <c r="R195" s="2" t="inlineStr">
        <is>
          <t>날짜지정</t>
        </is>
      </c>
      <c r="S195" s="2" t="inlineStr">
        <is>
          <t>2026-12-31</t>
        </is>
      </c>
      <c r="T195" s="2" t="b">
        <v>1</v>
      </c>
    </row>
    <row r="196">
      <c r="A196" s="2" t="inlineStr">
        <is>
          <t>330064</t>
        </is>
      </c>
      <c r="B196" s="2" t="inlineStr">
        <is>
          <t>4293612</t>
        </is>
      </c>
      <c r="C196" s="2" t="inlineStr">
        <is>
          <t>테마파크</t>
        </is>
      </c>
      <c r="D196" s="2" t="inlineStr">
        <is>
          <t>테마파크</t>
        </is>
      </c>
      <c r="E196" s="2" t="inlineStr">
        <is>
          <t>용인</t>
        </is>
      </c>
      <c r="F196" s="2" t="inlineStr">
        <is>
          <t>용인공룡월드</t>
        </is>
      </c>
      <c r="G196" s="2" t="inlineStr">
        <is>
          <t>주말/공휴일 종일권 용인공룡월드(~12/31)</t>
        </is>
      </c>
      <c r="H196" s="2" t="inlineStr">
        <is>
          <t>대소공통</t>
        </is>
      </c>
      <c r="I196" s="2" t="inlineStr">
        <is>
          <t>주말</t>
        </is>
      </c>
      <c r="J196" s="2" t="inlineStr">
        <is>
          <t>종일</t>
        </is>
      </c>
      <c r="K196" s="2" t="n">
        <v>25000</v>
      </c>
      <c r="L196" s="2" t="n">
        <v>20700</v>
      </c>
      <c r="M196" s="2" t="n">
        <v>17</v>
      </c>
      <c r="N196" s="2" t="n">
        <v>17.2</v>
      </c>
      <c r="O196" s="2" t="inlineStr">
        <is>
          <t>1</t>
        </is>
      </c>
      <c r="P196" s="2" t="inlineStr">
        <is>
          <t>구매일</t>
        </is>
      </c>
      <c r="Q196" s="2" t="inlineStr">
        <is>
          <t>0</t>
        </is>
      </c>
      <c r="R196" s="2" t="inlineStr">
        <is>
          <t>날짜지정</t>
        </is>
      </c>
      <c r="S196" s="2" t="inlineStr">
        <is>
          <t>2026-12-31</t>
        </is>
      </c>
      <c r="T196" s="2" t="b">
        <v>0</v>
      </c>
    </row>
    <row r="197">
      <c r="A197" s="2" t="inlineStr">
        <is>
          <t>329875</t>
        </is>
      </c>
      <c r="B197" s="2" t="inlineStr">
        <is>
          <t>4292143</t>
        </is>
      </c>
      <c r="C197" s="2" t="inlineStr">
        <is>
          <t>테마파크</t>
        </is>
      </c>
      <c r="D197" s="2" t="inlineStr">
        <is>
          <t>테마파크</t>
        </is>
      </c>
      <c r="E197" s="2" t="inlineStr">
        <is>
          <t>동탄</t>
        </is>
      </c>
      <c r="F197" s="2" t="inlineStr">
        <is>
          <t>동탄공룡월드</t>
        </is>
      </c>
      <c r="G197" s="2" t="inlineStr">
        <is>
          <t>주중 종일대인권 동탄공룡월드(~12/31)</t>
        </is>
      </c>
      <c r="H197" s="2" t="inlineStr">
        <is>
          <t>대인</t>
        </is>
      </c>
      <c r="I197" s="2" t="inlineStr">
        <is>
          <t>주중</t>
        </is>
      </c>
      <c r="J197" s="2" t="inlineStr">
        <is>
          <t>종일</t>
        </is>
      </c>
      <c r="K197" s="2" t="n">
        <v>12000</v>
      </c>
      <c r="L197" s="2" t="n">
        <v>8700</v>
      </c>
      <c r="M197" s="2" t="n">
        <v>28</v>
      </c>
      <c r="N197" s="2" t="n">
        <v>27.5</v>
      </c>
      <c r="O197" s="2" t="inlineStr">
        <is>
          <t>1</t>
        </is>
      </c>
      <c r="P197" s="2" t="inlineStr">
        <is>
          <t>구매일</t>
        </is>
      </c>
      <c r="Q197" s="2" t="inlineStr">
        <is>
          <t>0</t>
        </is>
      </c>
      <c r="R197" s="2" t="inlineStr">
        <is>
          <t>날짜지정</t>
        </is>
      </c>
      <c r="S197" s="2" t="inlineStr">
        <is>
          <t>2026-12-31</t>
        </is>
      </c>
      <c r="T197" s="2" t="b">
        <v>1</v>
      </c>
    </row>
    <row r="198">
      <c r="A198" s="2" t="inlineStr">
        <is>
          <t>329875</t>
        </is>
      </c>
      <c r="B198" s="2" t="inlineStr">
        <is>
          <t>4292145</t>
        </is>
      </c>
      <c r="C198" s="2" t="inlineStr">
        <is>
          <t>테마파크</t>
        </is>
      </c>
      <c r="D198" s="2" t="inlineStr">
        <is>
          <t>테마파크</t>
        </is>
      </c>
      <c r="E198" s="2" t="inlineStr">
        <is>
          <t>동탄</t>
        </is>
      </c>
      <c r="F198" s="2" t="inlineStr">
        <is>
          <t>동탄공룡월드</t>
        </is>
      </c>
      <c r="G198" s="2" t="inlineStr">
        <is>
          <t>주말/공휴일 종일대인권 동탄공룡월드(~12/31)</t>
        </is>
      </c>
      <c r="H198" s="2" t="inlineStr">
        <is>
          <t>대인</t>
        </is>
      </c>
      <c r="I198" s="2" t="inlineStr">
        <is>
          <t>주말</t>
        </is>
      </c>
      <c r="J198" s="2" t="inlineStr">
        <is>
          <t>종일</t>
        </is>
      </c>
      <c r="K198" s="2" t="n">
        <v>15000</v>
      </c>
      <c r="L198" s="2" t="n">
        <v>10800</v>
      </c>
      <c r="M198" s="2" t="n">
        <v>28</v>
      </c>
      <c r="N198" s="2" t="n">
        <v>28</v>
      </c>
      <c r="O198" s="2" t="inlineStr">
        <is>
          <t>1</t>
        </is>
      </c>
      <c r="P198" s="2" t="inlineStr">
        <is>
          <t>구매일</t>
        </is>
      </c>
      <c r="Q198" s="2" t="inlineStr">
        <is>
          <t>0</t>
        </is>
      </c>
      <c r="R198" s="2" t="inlineStr">
        <is>
          <t>날짜지정</t>
        </is>
      </c>
      <c r="S198" s="2" t="inlineStr">
        <is>
          <t>2026-12-31</t>
        </is>
      </c>
      <c r="T198" s="2" t="b">
        <v>0</v>
      </c>
    </row>
    <row r="199">
      <c r="A199" s="2" t="inlineStr">
        <is>
          <t>329875</t>
        </is>
      </c>
      <c r="B199" s="2" t="inlineStr">
        <is>
          <t>4292142</t>
        </is>
      </c>
      <c r="C199" s="2" t="inlineStr">
        <is>
          <t>테마파크</t>
        </is>
      </c>
      <c r="D199" s="2" t="inlineStr">
        <is>
          <t>테마파크</t>
        </is>
      </c>
      <c r="E199" s="2" t="inlineStr">
        <is>
          <t>동탄</t>
        </is>
      </c>
      <c r="F199" s="2" t="inlineStr">
        <is>
          <t>동탄공룡월드</t>
        </is>
      </c>
      <c r="G199" s="2" t="inlineStr">
        <is>
          <t>주중 종일소인권 동탄공룡월드(~12/31)</t>
        </is>
      </c>
      <c r="H199" s="2" t="inlineStr">
        <is>
          <t>소인</t>
        </is>
      </c>
      <c r="I199" s="2" t="inlineStr">
        <is>
          <t>주중</t>
        </is>
      </c>
      <c r="J199" s="2" t="inlineStr">
        <is>
          <t>종일</t>
        </is>
      </c>
      <c r="K199" s="2" t="n">
        <v>20000</v>
      </c>
      <c r="L199" s="2" t="n">
        <v>14400</v>
      </c>
      <c r="M199" s="2" t="n">
        <v>28</v>
      </c>
      <c r="N199" s="2" t="n">
        <v>28</v>
      </c>
      <c r="O199" s="2" t="inlineStr">
        <is>
          <t>1</t>
        </is>
      </c>
      <c r="P199" s="2" t="inlineStr">
        <is>
          <t>구매일</t>
        </is>
      </c>
      <c r="Q199" s="2" t="inlineStr">
        <is>
          <t>0</t>
        </is>
      </c>
      <c r="R199" s="2" t="inlineStr">
        <is>
          <t>날짜지정</t>
        </is>
      </c>
      <c r="S199" s="2" t="inlineStr">
        <is>
          <t>2026-12-31</t>
        </is>
      </c>
      <c r="T199" s="2" t="b">
        <v>0</v>
      </c>
    </row>
    <row r="200">
      <c r="A200" s="2" t="inlineStr">
        <is>
          <t>329875</t>
        </is>
      </c>
      <c r="B200" s="2" t="inlineStr">
        <is>
          <t>4292144</t>
        </is>
      </c>
      <c r="C200" s="2" t="inlineStr">
        <is>
          <t>테마파크</t>
        </is>
      </c>
      <c r="D200" s="2" t="inlineStr">
        <is>
          <t>테마파크</t>
        </is>
      </c>
      <c r="E200" s="2" t="inlineStr">
        <is>
          <t>동탄</t>
        </is>
      </c>
      <c r="F200" s="2" t="inlineStr">
        <is>
          <t>동탄공룡월드</t>
        </is>
      </c>
      <c r="G200" s="2" t="inlineStr">
        <is>
          <t>주말/공휴일 종일소인권 동탄공룡월드(~12/31)</t>
        </is>
      </c>
      <c r="H200" s="2" t="inlineStr">
        <is>
          <t>소인</t>
        </is>
      </c>
      <c r="I200" s="2" t="inlineStr">
        <is>
          <t>주말</t>
        </is>
      </c>
      <c r="J200" s="2" t="inlineStr">
        <is>
          <t>종일</t>
        </is>
      </c>
      <c r="K200" s="2" t="n">
        <v>22000</v>
      </c>
      <c r="L200" s="2" t="n">
        <v>15900</v>
      </c>
      <c r="M200" s="2" t="n">
        <v>28</v>
      </c>
      <c r="N200" s="2" t="n">
        <v>27.7</v>
      </c>
      <c r="O200" s="2" t="inlineStr">
        <is>
          <t>1</t>
        </is>
      </c>
      <c r="P200" s="2" t="inlineStr">
        <is>
          <t>구매일</t>
        </is>
      </c>
      <c r="Q200" s="2" t="inlineStr">
        <is>
          <t>0</t>
        </is>
      </c>
      <c r="R200" s="2" t="inlineStr">
        <is>
          <t>날짜지정</t>
        </is>
      </c>
      <c r="S200" s="2" t="inlineStr">
        <is>
          <t>2026-12-31</t>
        </is>
      </c>
      <c r="T200" s="2" t="b">
        <v>0</v>
      </c>
    </row>
    <row r="201">
      <c r="A201" s="2" t="inlineStr">
        <is>
          <t>329812</t>
        </is>
      </c>
      <c r="B201" s="2" t="inlineStr">
        <is>
          <t>4291631</t>
        </is>
      </c>
      <c r="C201" s="2" t="inlineStr">
        <is>
          <t>테마파크</t>
        </is>
      </c>
      <c r="D201" s="2" t="inlineStr">
        <is>
          <t>테마파크</t>
        </is>
      </c>
      <c r="E201" s="2" t="inlineStr">
        <is>
          <t>인천</t>
        </is>
      </c>
      <c r="F201" s="2" t="inlineStr">
        <is>
          <t>인천공룡월드</t>
        </is>
      </c>
      <c r="G201" s="2" t="inlineStr">
        <is>
          <t>주중종일권 인천공룡월드(~12/31)</t>
        </is>
      </c>
      <c r="H201" s="2" t="inlineStr">
        <is>
          <t>대소공통</t>
        </is>
      </c>
      <c r="I201" s="2" t="inlineStr">
        <is>
          <t>주중</t>
        </is>
      </c>
      <c r="J201" s="2" t="inlineStr">
        <is>
          <t>종일</t>
        </is>
      </c>
      <c r="K201" s="2" t="n">
        <v>22000</v>
      </c>
      <c r="L201" s="2" t="n">
        <v>18000</v>
      </c>
      <c r="M201" s="2" t="n">
        <v>18</v>
      </c>
      <c r="N201" s="2" t="n">
        <v>18.2</v>
      </c>
      <c r="O201" s="2" t="inlineStr">
        <is>
          <t>1</t>
        </is>
      </c>
      <c r="P201" s="2" t="inlineStr">
        <is>
          <t>구매일</t>
        </is>
      </c>
      <c r="Q201" s="2" t="inlineStr">
        <is>
          <t>0</t>
        </is>
      </c>
      <c r="R201" s="2" t="inlineStr">
        <is>
          <t>날짜지정</t>
        </is>
      </c>
      <c r="S201" s="2" t="inlineStr">
        <is>
          <t>2026-12-31</t>
        </is>
      </c>
      <c r="T201" s="2" t="b">
        <v>1</v>
      </c>
    </row>
    <row r="202">
      <c r="A202" s="2" t="inlineStr">
        <is>
          <t>329812</t>
        </is>
      </c>
      <c r="B202" s="2" t="inlineStr">
        <is>
          <t>4291632</t>
        </is>
      </c>
      <c r="C202" s="2" t="inlineStr">
        <is>
          <t>테마파크</t>
        </is>
      </c>
      <c r="D202" s="2" t="inlineStr">
        <is>
          <t>테마파크</t>
        </is>
      </c>
      <c r="E202" s="2" t="inlineStr">
        <is>
          <t>인천</t>
        </is>
      </c>
      <c r="F202" s="2" t="inlineStr">
        <is>
          <t>인천공룡월드</t>
        </is>
      </c>
      <c r="G202" s="2" t="inlineStr">
        <is>
          <t>주말/공휴일 종일권 인천공룡월드(~12/31)</t>
        </is>
      </c>
      <c r="H202" s="2" t="inlineStr">
        <is>
          <t>대소공통</t>
        </is>
      </c>
      <c r="I202" s="2" t="inlineStr">
        <is>
          <t>주말</t>
        </is>
      </c>
      <c r="J202" s="2" t="inlineStr">
        <is>
          <t>종일</t>
        </is>
      </c>
      <c r="K202" s="2" t="n">
        <v>25000</v>
      </c>
      <c r="L202" s="2" t="n">
        <v>20700</v>
      </c>
      <c r="M202" s="2" t="n">
        <v>17</v>
      </c>
      <c r="N202" s="2" t="n">
        <v>17.2</v>
      </c>
      <c r="O202" s="2" t="inlineStr">
        <is>
          <t>1</t>
        </is>
      </c>
      <c r="P202" s="2" t="inlineStr">
        <is>
          <t>구매일</t>
        </is>
      </c>
      <c r="Q202" s="2" t="inlineStr">
        <is>
          <t>0</t>
        </is>
      </c>
      <c r="R202" s="2" t="inlineStr">
        <is>
          <t>날짜지정</t>
        </is>
      </c>
      <c r="S202" s="2" t="inlineStr">
        <is>
          <t>2026-12-31</t>
        </is>
      </c>
      <c r="T202" s="2" t="b">
        <v>0</v>
      </c>
    </row>
    <row r="203">
      <c r="A203" s="2" t="inlineStr">
        <is>
          <t>327662</t>
        </is>
      </c>
      <c r="B203" s="2" t="inlineStr">
        <is>
          <t>4225062</t>
        </is>
      </c>
      <c r="C203" s="2" t="inlineStr">
        <is>
          <t>테마파크</t>
        </is>
      </c>
      <c r="D203" s="2" t="inlineStr">
        <is>
          <t>테마파크</t>
        </is>
      </c>
      <c r="E203" s="2" t="inlineStr">
        <is>
          <t>천안</t>
        </is>
      </c>
      <c r="F203" s="2" t="inlineStr">
        <is>
          <t>천안 공룡월드&amp;키즈카페</t>
        </is>
      </c>
      <c r="G203" s="2" t="inlineStr">
        <is>
          <t>주중 종일권 천안공룡월드(~10/31)</t>
        </is>
      </c>
      <c r="H203" s="2" t="inlineStr">
        <is>
          <t>대소공통</t>
        </is>
      </c>
      <c r="I203" s="2" t="inlineStr">
        <is>
          <t>주중</t>
        </is>
      </c>
      <c r="J203" s="2" t="inlineStr">
        <is>
          <t>종일</t>
        </is>
      </c>
      <c r="K203" s="2" t="n">
        <v>23000</v>
      </c>
      <c r="L203" s="2" t="n">
        <v>17900</v>
      </c>
      <c r="M203" s="2" t="n">
        <v>22</v>
      </c>
      <c r="N203" s="2" t="n">
        <v>22.2</v>
      </c>
      <c r="O203" s="2" t="inlineStr">
        <is>
          <t>1</t>
        </is>
      </c>
      <c r="P203" s="2" t="inlineStr">
        <is>
          <t>구매일</t>
        </is>
      </c>
      <c r="Q203" s="2" t="inlineStr">
        <is>
          <t>0</t>
        </is>
      </c>
      <c r="R203" s="2" t="inlineStr">
        <is>
          <t>날짜지정</t>
        </is>
      </c>
      <c r="S203" s="2" t="inlineStr">
        <is>
          <t>2026-10-31</t>
        </is>
      </c>
      <c r="T203" s="2" t="b">
        <v>1</v>
      </c>
    </row>
    <row r="204">
      <c r="A204" s="2" t="inlineStr">
        <is>
          <t>327662</t>
        </is>
      </c>
      <c r="B204" s="2" t="inlineStr">
        <is>
          <t>4225063</t>
        </is>
      </c>
      <c r="C204" s="2" t="inlineStr">
        <is>
          <t>테마파크</t>
        </is>
      </c>
      <c r="D204" s="2" t="inlineStr">
        <is>
          <t>테마파크</t>
        </is>
      </c>
      <c r="E204" s="2" t="inlineStr">
        <is>
          <t>천안</t>
        </is>
      </c>
      <c r="F204" s="2" t="inlineStr">
        <is>
          <t>천안 공룡월드&amp;키즈카페</t>
        </is>
      </c>
      <c r="G204" s="2" t="inlineStr">
        <is>
          <t>주말 종일권 천안공룡월드(~10/31)</t>
        </is>
      </c>
      <c r="H204" s="2" t="inlineStr">
        <is>
          <t>대소공통</t>
        </is>
      </c>
      <c r="I204" s="2" t="inlineStr">
        <is>
          <t>주말</t>
        </is>
      </c>
      <c r="J204" s="2" t="inlineStr">
        <is>
          <t>종일</t>
        </is>
      </c>
      <c r="K204" s="2" t="n">
        <v>25000</v>
      </c>
      <c r="L204" s="2" t="n">
        <v>19900</v>
      </c>
      <c r="M204" s="2" t="n">
        <v>20</v>
      </c>
      <c r="N204" s="2" t="n">
        <v>20.4</v>
      </c>
      <c r="O204" s="2" t="inlineStr">
        <is>
          <t>1</t>
        </is>
      </c>
      <c r="P204" s="2" t="inlineStr">
        <is>
          <t>구매일</t>
        </is>
      </c>
      <c r="Q204" s="2" t="inlineStr">
        <is>
          <t>0</t>
        </is>
      </c>
      <c r="R204" s="2" t="inlineStr">
        <is>
          <t>날짜지정</t>
        </is>
      </c>
      <c r="S204" s="2" t="inlineStr">
        <is>
          <t>2026-10-31</t>
        </is>
      </c>
      <c r="T204" s="2" t="b">
        <v>0</v>
      </c>
    </row>
    <row r="205">
      <c r="A205" s="2" t="inlineStr">
        <is>
          <t>329623</t>
        </is>
      </c>
      <c r="B205" s="2" t="inlineStr">
        <is>
          <t>4285830</t>
        </is>
      </c>
      <c r="C205" s="2" t="inlineStr">
        <is>
          <t>테마파크</t>
        </is>
      </c>
      <c r="D205" s="2" t="inlineStr">
        <is>
          <t>테마파크</t>
        </is>
      </c>
      <c r="E205" s="2" t="inlineStr">
        <is>
          <t>전국</t>
        </is>
      </c>
      <c r="F205" s="2" t="inlineStr">
        <is>
          <t>히어로 플레이파크</t>
        </is>
      </c>
      <c r="G205" s="2" t="inlineStr">
        <is>
          <t>대구점 반일 소인권 히어로플레이파크(5시간)(~10/31)</t>
        </is>
      </c>
      <c r="H205" s="2" t="inlineStr">
        <is>
          <t>소인</t>
        </is>
      </c>
      <c r="I205" s="2" t="inlineStr">
        <is>
          <t>주중+주말</t>
        </is>
      </c>
      <c r="J205" s="2" t="inlineStr">
        <is>
          <t>종일</t>
        </is>
      </c>
      <c r="K205" s="2" t="n">
        <v>30000</v>
      </c>
      <c r="L205" s="2" t="n">
        <v>21600</v>
      </c>
      <c r="M205" s="2" t="n">
        <v>28</v>
      </c>
      <c r="N205" s="2" t="n">
        <v>28</v>
      </c>
      <c r="O205" s="2" t="inlineStr">
        <is>
          <t>1</t>
        </is>
      </c>
      <c r="P205" s="2" t="inlineStr">
        <is>
          <t>구매일</t>
        </is>
      </c>
      <c r="Q205" s="2" t="inlineStr">
        <is>
          <t>0</t>
        </is>
      </c>
      <c r="R205" s="2" t="inlineStr">
        <is>
          <t>날짜지정</t>
        </is>
      </c>
      <c r="S205" s="2" t="inlineStr">
        <is>
          <t>2026-10-31</t>
        </is>
      </c>
      <c r="T205" s="2" t="b">
        <v>1</v>
      </c>
    </row>
    <row r="206">
      <c r="A206" s="2" t="inlineStr">
        <is>
          <t>329623</t>
        </is>
      </c>
      <c r="B206" s="2" t="inlineStr">
        <is>
          <t>4285831</t>
        </is>
      </c>
      <c r="C206" s="2" t="inlineStr">
        <is>
          <t>테마파크</t>
        </is>
      </c>
      <c r="D206" s="2" t="inlineStr">
        <is>
          <t>테마파크</t>
        </is>
      </c>
      <c r="E206" s="2" t="inlineStr">
        <is>
          <t>전국</t>
        </is>
      </c>
      <c r="F206" s="2" t="inlineStr">
        <is>
          <t>히어로 플레이파크</t>
        </is>
      </c>
      <c r="G206" s="2" t="inlineStr">
        <is>
          <t>대구점 보호자 입장권 히어로플레이파크(~10/31)</t>
        </is>
      </c>
      <c r="H206" s="2" t="inlineStr">
        <is>
          <t>대인</t>
        </is>
      </c>
      <c r="I206" s="2" t="inlineStr">
        <is>
          <t>주중+주말</t>
        </is>
      </c>
      <c r="J206" s="2" t="inlineStr">
        <is>
          <t>종일</t>
        </is>
      </c>
      <c r="K206" s="2" t="n">
        <v>10000</v>
      </c>
      <c r="L206" s="2" t="n">
        <v>6300</v>
      </c>
      <c r="M206" s="2" t="n">
        <v>37</v>
      </c>
      <c r="N206" s="2" t="n">
        <v>37</v>
      </c>
      <c r="O206" s="2" t="inlineStr">
        <is>
          <t>1</t>
        </is>
      </c>
      <c r="P206" s="2" t="inlineStr">
        <is>
          <t>구매일</t>
        </is>
      </c>
      <c r="Q206" s="2" t="inlineStr">
        <is>
          <t>0</t>
        </is>
      </c>
      <c r="R206" s="2" t="inlineStr">
        <is>
          <t>날짜지정</t>
        </is>
      </c>
      <c r="S206" s="2" t="inlineStr">
        <is>
          <t>2026-10-31</t>
        </is>
      </c>
      <c r="T206" s="2" t="b">
        <v>0</v>
      </c>
    </row>
    <row r="207">
      <c r="A207" s="2" t="inlineStr">
        <is>
          <t>329623</t>
        </is>
      </c>
      <c r="B207" s="2" t="inlineStr">
        <is>
          <t>4285832</t>
        </is>
      </c>
      <c r="C207" s="2" t="inlineStr">
        <is>
          <t>테마파크</t>
        </is>
      </c>
      <c r="D207" s="2" t="inlineStr">
        <is>
          <t>테마파크</t>
        </is>
      </c>
      <c r="E207" s="2" t="inlineStr">
        <is>
          <t>전국</t>
        </is>
      </c>
      <c r="F207" s="2" t="inlineStr">
        <is>
          <t>히어로 플레이파크</t>
        </is>
      </c>
      <c r="G207" s="2" t="inlineStr">
        <is>
          <t>부산정관점 반일 소인권 히어로플레이파크(5시간)(~10/31)</t>
        </is>
      </c>
      <c r="H207" s="2" t="inlineStr">
        <is>
          <t>소인</t>
        </is>
      </c>
      <c r="I207" s="2" t="inlineStr">
        <is>
          <t>주중+주말</t>
        </is>
      </c>
      <c r="J207" s="2" t="inlineStr">
        <is>
          <t>종일</t>
        </is>
      </c>
      <c r="K207" s="2" t="n">
        <v>30000</v>
      </c>
      <c r="L207" s="2" t="n">
        <v>21600</v>
      </c>
      <c r="M207" s="2" t="n">
        <v>28</v>
      </c>
      <c r="N207" s="2" t="n">
        <v>28</v>
      </c>
      <c r="O207" s="2" t="inlineStr">
        <is>
          <t>1</t>
        </is>
      </c>
      <c r="P207" s="2" t="inlineStr">
        <is>
          <t>구매일</t>
        </is>
      </c>
      <c r="Q207" s="2" t="inlineStr">
        <is>
          <t>0</t>
        </is>
      </c>
      <c r="R207" s="2" t="inlineStr">
        <is>
          <t>날짜지정</t>
        </is>
      </c>
      <c r="S207" s="2" t="inlineStr">
        <is>
          <t>2026-10-31</t>
        </is>
      </c>
      <c r="T207" s="2" t="b">
        <v>0</v>
      </c>
    </row>
    <row r="208">
      <c r="A208" s="2" t="inlineStr">
        <is>
          <t>329623</t>
        </is>
      </c>
      <c r="B208" s="2" t="inlineStr">
        <is>
          <t>4285833</t>
        </is>
      </c>
      <c r="C208" s="2" t="inlineStr">
        <is>
          <t>테마파크</t>
        </is>
      </c>
      <c r="D208" s="2" t="inlineStr">
        <is>
          <t>테마파크</t>
        </is>
      </c>
      <c r="E208" s="2" t="inlineStr">
        <is>
          <t>전국</t>
        </is>
      </c>
      <c r="F208" s="2" t="inlineStr">
        <is>
          <t>히어로 플레이파크</t>
        </is>
      </c>
      <c r="G208" s="2" t="inlineStr">
        <is>
          <t>부산정관점 보호자 입장권 히어로플레이파크(~10/31)</t>
        </is>
      </c>
      <c r="H208" s="2" t="inlineStr">
        <is>
          <t>대인</t>
        </is>
      </c>
      <c r="I208" s="2" t="inlineStr">
        <is>
          <t>주중+주말</t>
        </is>
      </c>
      <c r="J208" s="2" t="inlineStr">
        <is>
          <t>종일</t>
        </is>
      </c>
      <c r="K208" s="2" t="n">
        <v>10000</v>
      </c>
      <c r="L208" s="2" t="n">
        <v>6300</v>
      </c>
      <c r="M208" s="2" t="n">
        <v>37</v>
      </c>
      <c r="N208" s="2" t="n">
        <v>37</v>
      </c>
      <c r="O208" s="2" t="inlineStr">
        <is>
          <t>1</t>
        </is>
      </c>
      <c r="P208" s="2" t="inlineStr">
        <is>
          <t>구매일</t>
        </is>
      </c>
      <c r="Q208" s="2" t="inlineStr">
        <is>
          <t>0</t>
        </is>
      </c>
      <c r="R208" s="2" t="inlineStr">
        <is>
          <t>날짜지정</t>
        </is>
      </c>
      <c r="S208" s="2" t="inlineStr">
        <is>
          <t>2026-10-31</t>
        </is>
      </c>
      <c r="T208" s="2" t="b">
        <v>0</v>
      </c>
    </row>
    <row r="209">
      <c r="A209" s="2" t="inlineStr">
        <is>
          <t>329623</t>
        </is>
      </c>
      <c r="B209" s="2" t="inlineStr">
        <is>
          <t>4285834</t>
        </is>
      </c>
      <c r="C209" s="2" t="inlineStr">
        <is>
          <t>테마파크</t>
        </is>
      </c>
      <c r="D209" s="2" t="inlineStr">
        <is>
          <t>테마파크</t>
        </is>
      </c>
      <c r="E209" s="2" t="inlineStr">
        <is>
          <t>전국</t>
        </is>
      </c>
      <c r="F209" s="2" t="inlineStr">
        <is>
          <t>히어로 플레이파크</t>
        </is>
      </c>
      <c r="G209" s="2" t="inlineStr">
        <is>
          <t>김해점 반일 소인권 히어로플레이파크(5시간)(~10/31)</t>
        </is>
      </c>
      <c r="H209" s="2" t="inlineStr">
        <is>
          <t>소인</t>
        </is>
      </c>
      <c r="I209" s="2" t="inlineStr">
        <is>
          <t>주중+주말</t>
        </is>
      </c>
      <c r="J209" s="2" t="inlineStr">
        <is>
          <t>종일</t>
        </is>
      </c>
      <c r="K209" s="2" t="n">
        <v>30000</v>
      </c>
      <c r="L209" s="2" t="n">
        <v>21600</v>
      </c>
      <c r="M209" s="2" t="n">
        <v>28</v>
      </c>
      <c r="N209" s="2" t="n">
        <v>28</v>
      </c>
      <c r="O209" s="2" t="inlineStr">
        <is>
          <t>1</t>
        </is>
      </c>
      <c r="P209" s="2" t="inlineStr">
        <is>
          <t>구매일</t>
        </is>
      </c>
      <c r="Q209" s="2" t="inlineStr">
        <is>
          <t>0</t>
        </is>
      </c>
      <c r="R209" s="2" t="inlineStr">
        <is>
          <t>날짜지정</t>
        </is>
      </c>
      <c r="S209" s="2" t="inlineStr">
        <is>
          <t>2026-10-31</t>
        </is>
      </c>
      <c r="T209" s="2" t="b">
        <v>0</v>
      </c>
    </row>
    <row r="210">
      <c r="A210" s="2" t="inlineStr">
        <is>
          <t>329623</t>
        </is>
      </c>
      <c r="B210" s="2" t="inlineStr">
        <is>
          <t>4285835</t>
        </is>
      </c>
      <c r="C210" s="2" t="inlineStr">
        <is>
          <t>테마파크</t>
        </is>
      </c>
      <c r="D210" s="2" t="inlineStr">
        <is>
          <t>테마파크</t>
        </is>
      </c>
      <c r="E210" s="2" t="inlineStr">
        <is>
          <t>전국</t>
        </is>
      </c>
      <c r="F210" s="2" t="inlineStr">
        <is>
          <t>히어로 플레이파크</t>
        </is>
      </c>
      <c r="G210" s="2" t="inlineStr">
        <is>
          <t>김해점 보호자 입장권 히어로플레이파크(~10/31)</t>
        </is>
      </c>
      <c r="H210" s="2" t="inlineStr">
        <is>
          <t>대인</t>
        </is>
      </c>
      <c r="I210" s="2" t="inlineStr">
        <is>
          <t>주중+주말</t>
        </is>
      </c>
      <c r="J210" s="2" t="inlineStr">
        <is>
          <t>종일</t>
        </is>
      </c>
      <c r="K210" s="2" t="n">
        <v>10000</v>
      </c>
      <c r="L210" s="2" t="n">
        <v>6300</v>
      </c>
      <c r="M210" s="2" t="n">
        <v>37</v>
      </c>
      <c r="N210" s="2" t="n">
        <v>37</v>
      </c>
      <c r="O210" s="2" t="inlineStr">
        <is>
          <t>1</t>
        </is>
      </c>
      <c r="P210" s="2" t="inlineStr">
        <is>
          <t>구매일</t>
        </is>
      </c>
      <c r="Q210" s="2" t="inlineStr">
        <is>
          <t>0</t>
        </is>
      </c>
      <c r="R210" s="2" t="inlineStr">
        <is>
          <t>날짜지정</t>
        </is>
      </c>
      <c r="S210" s="2" t="inlineStr">
        <is>
          <t>2026-10-31</t>
        </is>
      </c>
      <c r="T210" s="2" t="b">
        <v>0</v>
      </c>
    </row>
    <row r="211">
      <c r="A211" s="2" t="inlineStr">
        <is>
          <t>329623</t>
        </is>
      </c>
      <c r="B211" s="2" t="inlineStr">
        <is>
          <t>4285836</t>
        </is>
      </c>
      <c r="C211" s="2" t="inlineStr">
        <is>
          <t>테마파크</t>
        </is>
      </c>
      <c r="D211" s="2" t="inlineStr">
        <is>
          <t>테마파크</t>
        </is>
      </c>
      <c r="E211" s="2" t="inlineStr">
        <is>
          <t>전국</t>
        </is>
      </c>
      <c r="F211" s="2" t="inlineStr">
        <is>
          <t>히어로 플레이파크</t>
        </is>
      </c>
      <c r="G211" s="2" t="inlineStr">
        <is>
          <t>의정부점 반일 소인권 히어로플레이파크(5시간)(~10/31)</t>
        </is>
      </c>
      <c r="H211" s="2" t="inlineStr">
        <is>
          <t>소인</t>
        </is>
      </c>
      <c r="I211" s="2" t="inlineStr">
        <is>
          <t>주중+주말</t>
        </is>
      </c>
      <c r="J211" s="2" t="inlineStr">
        <is>
          <t>종일</t>
        </is>
      </c>
      <c r="K211" s="2" t="n">
        <v>30000</v>
      </c>
      <c r="L211" s="2" t="n">
        <v>13900</v>
      </c>
      <c r="M211" s="2" t="n">
        <v>54</v>
      </c>
      <c r="N211" s="2" t="n">
        <v>53.7</v>
      </c>
      <c r="O211" s="2" t="inlineStr">
        <is>
          <t>1</t>
        </is>
      </c>
      <c r="P211" s="2" t="inlineStr">
        <is>
          <t>구매일</t>
        </is>
      </c>
      <c r="Q211" s="2" t="inlineStr">
        <is>
          <t>0</t>
        </is>
      </c>
      <c r="R211" s="2" t="inlineStr">
        <is>
          <t>날짜지정</t>
        </is>
      </c>
      <c r="S211" s="2" t="inlineStr">
        <is>
          <t>2026-10-31</t>
        </is>
      </c>
      <c r="T211" s="2" t="b">
        <v>0</v>
      </c>
    </row>
    <row r="212">
      <c r="A212" s="2" t="inlineStr">
        <is>
          <t>329623</t>
        </is>
      </c>
      <c r="B212" s="2" t="inlineStr">
        <is>
          <t>4285837</t>
        </is>
      </c>
      <c r="C212" s="2" t="inlineStr">
        <is>
          <t>테마파크</t>
        </is>
      </c>
      <c r="D212" s="2" t="inlineStr">
        <is>
          <t>테마파크</t>
        </is>
      </c>
      <c r="E212" s="2" t="inlineStr">
        <is>
          <t>전국</t>
        </is>
      </c>
      <c r="F212" s="2" t="inlineStr">
        <is>
          <t>히어로 플레이파크</t>
        </is>
      </c>
      <c r="G212" s="2" t="inlineStr">
        <is>
          <t>의정부점 보호자 입장권 히어로플레이파크(5시간)(~10/31)</t>
        </is>
      </c>
      <c r="H212" s="2" t="inlineStr">
        <is>
          <t>대인</t>
        </is>
      </c>
      <c r="I212" s="2" t="inlineStr">
        <is>
          <t>주중+주말</t>
        </is>
      </c>
      <c r="J212" s="2" t="inlineStr">
        <is>
          <t>종일</t>
        </is>
      </c>
      <c r="K212" s="2" t="n">
        <v>30000</v>
      </c>
      <c r="L212" s="2" t="n">
        <v>6300</v>
      </c>
      <c r="M212" s="2" t="n">
        <v>79</v>
      </c>
      <c r="N212" s="2" t="n">
        <v>79</v>
      </c>
      <c r="O212" s="2" t="inlineStr">
        <is>
          <t>1</t>
        </is>
      </c>
      <c r="P212" s="2" t="inlineStr">
        <is>
          <t>구매일</t>
        </is>
      </c>
      <c r="Q212" s="2" t="inlineStr">
        <is>
          <t>0</t>
        </is>
      </c>
      <c r="R212" s="2" t="inlineStr">
        <is>
          <t>날짜지정</t>
        </is>
      </c>
      <c r="S212" s="2" t="inlineStr">
        <is>
          <t>2026-10-31</t>
        </is>
      </c>
      <c r="T212" s="2" t="b">
        <v>0</v>
      </c>
    </row>
    <row r="213">
      <c r="A213" s="2" t="inlineStr">
        <is>
          <t>329623</t>
        </is>
      </c>
      <c r="B213" s="2" t="inlineStr">
        <is>
          <t>4285838</t>
        </is>
      </c>
      <c r="C213" s="2" t="inlineStr">
        <is>
          <t>테마파크</t>
        </is>
      </c>
      <c r="D213" s="2" t="inlineStr">
        <is>
          <t>테마파크</t>
        </is>
      </c>
      <c r="E213" s="2" t="inlineStr">
        <is>
          <t>전국</t>
        </is>
      </c>
      <c r="F213" s="2" t="inlineStr">
        <is>
          <t>히어로 플레이파크</t>
        </is>
      </c>
      <c r="G213" s="2" t="inlineStr">
        <is>
          <t>창원마산점 반일 소인권 히어로플레이파크(5시간)(~10/31)</t>
        </is>
      </c>
      <c r="H213" s="2" t="inlineStr">
        <is>
          <t>소인</t>
        </is>
      </c>
      <c r="I213" s="2" t="inlineStr">
        <is>
          <t>주중+주말</t>
        </is>
      </c>
      <c r="J213" s="2" t="inlineStr">
        <is>
          <t>종일</t>
        </is>
      </c>
      <c r="K213" s="2" t="n">
        <v>30000</v>
      </c>
      <c r="L213" s="2" t="n">
        <v>21600</v>
      </c>
      <c r="M213" s="2" t="n">
        <v>28</v>
      </c>
      <c r="N213" s="2" t="n">
        <v>28</v>
      </c>
      <c r="O213" s="2" t="inlineStr">
        <is>
          <t>1</t>
        </is>
      </c>
      <c r="P213" s="2" t="inlineStr">
        <is>
          <t>구매일</t>
        </is>
      </c>
      <c r="Q213" s="2" t="inlineStr">
        <is>
          <t>0</t>
        </is>
      </c>
      <c r="R213" s="2" t="inlineStr">
        <is>
          <t>날짜지정</t>
        </is>
      </c>
      <c r="S213" s="2" t="inlineStr">
        <is>
          <t>2026-10-31</t>
        </is>
      </c>
      <c r="T213" s="2" t="b">
        <v>0</v>
      </c>
    </row>
    <row r="214">
      <c r="A214" s="2" t="inlineStr">
        <is>
          <t>329623</t>
        </is>
      </c>
      <c r="B214" s="2" t="inlineStr">
        <is>
          <t>4285839</t>
        </is>
      </c>
      <c r="C214" s="2" t="inlineStr">
        <is>
          <t>테마파크</t>
        </is>
      </c>
      <c r="D214" s="2" t="inlineStr">
        <is>
          <t>테마파크</t>
        </is>
      </c>
      <c r="E214" s="2" t="inlineStr">
        <is>
          <t>전국</t>
        </is>
      </c>
      <c r="F214" s="2" t="inlineStr">
        <is>
          <t>히어로 플레이파크</t>
        </is>
      </c>
      <c r="G214" s="2" t="inlineStr">
        <is>
          <t>창원마산점 보호자 입장권 히어로플레이파크(~10/31)</t>
        </is>
      </c>
      <c r="H214" s="2" t="inlineStr">
        <is>
          <t>대인</t>
        </is>
      </c>
      <c r="I214" s="2" t="inlineStr">
        <is>
          <t>주중+주말</t>
        </is>
      </c>
      <c r="J214" s="2" t="inlineStr">
        <is>
          <t>종일</t>
        </is>
      </c>
      <c r="K214" s="2" t="n">
        <v>10000</v>
      </c>
      <c r="L214" s="2" t="n">
        <v>8900</v>
      </c>
      <c r="M214" s="2" t="n">
        <v>11</v>
      </c>
      <c r="N214" s="2" t="n">
        <v>11</v>
      </c>
      <c r="O214" s="2" t="inlineStr">
        <is>
          <t>1</t>
        </is>
      </c>
      <c r="P214" s="2" t="inlineStr">
        <is>
          <t>구매일</t>
        </is>
      </c>
      <c r="Q214" s="2" t="inlineStr">
        <is>
          <t>0</t>
        </is>
      </c>
      <c r="R214" s="2" t="inlineStr">
        <is>
          <t>날짜지정</t>
        </is>
      </c>
      <c r="S214" s="2" t="inlineStr">
        <is>
          <t>2026-10-31</t>
        </is>
      </c>
      <c r="T214" s="2" t="b">
        <v>0</v>
      </c>
    </row>
    <row r="215">
      <c r="A215" s="2" t="inlineStr">
        <is>
          <t>329623</t>
        </is>
      </c>
      <c r="B215" s="2" t="inlineStr">
        <is>
          <t>4285840</t>
        </is>
      </c>
      <c r="C215" s="2" t="inlineStr">
        <is>
          <t>테마파크</t>
        </is>
      </c>
      <c r="D215" s="2" t="inlineStr">
        <is>
          <t>테마파크</t>
        </is>
      </c>
      <c r="E215" s="2" t="inlineStr">
        <is>
          <t>전국</t>
        </is>
      </c>
      <c r="F215" s="2" t="inlineStr">
        <is>
          <t>히어로 플레이파크</t>
        </is>
      </c>
      <c r="G215" s="2" t="inlineStr">
        <is>
          <t>경주점 반일 소인권 히어로플레이파크(5시간)(~10/31)</t>
        </is>
      </c>
      <c r="H215" s="2" t="inlineStr">
        <is>
          <t>소인</t>
        </is>
      </c>
      <c r="I215" s="2" t="inlineStr">
        <is>
          <t>주중+주말</t>
        </is>
      </c>
      <c r="J215" s="2" t="inlineStr">
        <is>
          <t>종일</t>
        </is>
      </c>
      <c r="K215" s="2" t="n">
        <v>30000</v>
      </c>
      <c r="L215" s="2" t="n">
        <v>21600</v>
      </c>
      <c r="M215" s="2" t="n">
        <v>28</v>
      </c>
      <c r="N215" s="2" t="n">
        <v>28</v>
      </c>
      <c r="O215" s="2" t="inlineStr">
        <is>
          <t>1</t>
        </is>
      </c>
      <c r="P215" s="2" t="inlineStr">
        <is>
          <t>구매일</t>
        </is>
      </c>
      <c r="Q215" s="2" t="inlineStr">
        <is>
          <t>0</t>
        </is>
      </c>
      <c r="R215" s="2" t="inlineStr">
        <is>
          <t>날짜지정</t>
        </is>
      </c>
      <c r="S215" s="2" t="inlineStr">
        <is>
          <t>2026-10-31</t>
        </is>
      </c>
      <c r="T215" s="2" t="b">
        <v>0</v>
      </c>
    </row>
    <row r="216">
      <c r="A216" s="2" t="inlineStr">
        <is>
          <t>329623</t>
        </is>
      </c>
      <c r="B216" s="2" t="inlineStr">
        <is>
          <t>4285841</t>
        </is>
      </c>
      <c r="C216" s="2" t="inlineStr">
        <is>
          <t>테마파크</t>
        </is>
      </c>
      <c r="D216" s="2" t="inlineStr">
        <is>
          <t>테마파크</t>
        </is>
      </c>
      <c r="E216" s="2" t="inlineStr">
        <is>
          <t>전국</t>
        </is>
      </c>
      <c r="F216" s="2" t="inlineStr">
        <is>
          <t>히어로 플레이파크</t>
        </is>
      </c>
      <c r="G216" s="2" t="inlineStr">
        <is>
          <t>경주점 보호자 입장권 히어로플레이파크(5시간)(~10/31)</t>
        </is>
      </c>
      <c r="H216" s="2" t="inlineStr">
        <is>
          <t>대인</t>
        </is>
      </c>
      <c r="I216" s="2" t="inlineStr">
        <is>
          <t>주중+주말</t>
        </is>
      </c>
      <c r="J216" s="2" t="inlineStr">
        <is>
          <t>종일</t>
        </is>
      </c>
      <c r="K216" s="2" t="n">
        <v>30000</v>
      </c>
      <c r="L216" s="2" t="n">
        <v>8900</v>
      </c>
      <c r="M216" s="2" t="n">
        <v>70</v>
      </c>
      <c r="N216" s="2" t="n">
        <v>70.3</v>
      </c>
      <c r="O216" s="2" t="inlineStr">
        <is>
          <t>1</t>
        </is>
      </c>
      <c r="P216" s="2" t="inlineStr">
        <is>
          <t>구매일</t>
        </is>
      </c>
      <c r="Q216" s="2" t="inlineStr">
        <is>
          <t>0</t>
        </is>
      </c>
      <c r="R216" s="2" t="inlineStr">
        <is>
          <t>날짜지정</t>
        </is>
      </c>
      <c r="S216" s="2" t="inlineStr">
        <is>
          <t>2026-10-31</t>
        </is>
      </c>
      <c r="T216" s="2" t="b">
        <v>0</v>
      </c>
    </row>
    <row r="217">
      <c r="A217" s="2" t="inlineStr">
        <is>
          <t>329623</t>
        </is>
      </c>
      <c r="B217" s="2" t="inlineStr">
        <is>
          <t>4285842</t>
        </is>
      </c>
      <c r="C217" s="2" t="inlineStr">
        <is>
          <t>테마파크</t>
        </is>
      </c>
      <c r="D217" s="2" t="inlineStr">
        <is>
          <t>테마파크</t>
        </is>
      </c>
      <c r="E217" s="2" t="inlineStr">
        <is>
          <t>전국</t>
        </is>
      </c>
      <c r="F217" s="2" t="inlineStr">
        <is>
          <t>히어로 플레이파크</t>
        </is>
      </c>
      <c r="G217" s="2" t="inlineStr">
        <is>
          <t>제주점 반일 소인권 히어로플레이파크(5시간)(~10/31)</t>
        </is>
      </c>
      <c r="H217" s="2" t="inlineStr">
        <is>
          <t>소인</t>
        </is>
      </c>
      <c r="I217" s="2" t="inlineStr">
        <is>
          <t>주중+주말</t>
        </is>
      </c>
      <c r="J217" s="2" t="inlineStr">
        <is>
          <t>종일</t>
        </is>
      </c>
      <c r="K217" s="2" t="n">
        <v>30000</v>
      </c>
      <c r="L217" s="2" t="n">
        <v>21600</v>
      </c>
      <c r="M217" s="2" t="n">
        <v>28</v>
      </c>
      <c r="N217" s="2" t="n">
        <v>28</v>
      </c>
      <c r="O217" s="2" t="inlineStr">
        <is>
          <t>1</t>
        </is>
      </c>
      <c r="P217" s="2" t="inlineStr">
        <is>
          <t>구매일</t>
        </is>
      </c>
      <c r="Q217" s="2" t="inlineStr">
        <is>
          <t>0</t>
        </is>
      </c>
      <c r="R217" s="2" t="inlineStr">
        <is>
          <t>날짜지정</t>
        </is>
      </c>
      <c r="S217" s="2" t="inlineStr">
        <is>
          <t>2026-10-31</t>
        </is>
      </c>
      <c r="T217" s="2" t="b">
        <v>0</v>
      </c>
    </row>
    <row r="218">
      <c r="A218" s="2" t="inlineStr">
        <is>
          <t>329623</t>
        </is>
      </c>
      <c r="B218" s="2" t="inlineStr">
        <is>
          <t>4285843</t>
        </is>
      </c>
      <c r="C218" s="2" t="inlineStr">
        <is>
          <t>테마파크</t>
        </is>
      </c>
      <c r="D218" s="2" t="inlineStr">
        <is>
          <t>테마파크</t>
        </is>
      </c>
      <c r="E218" s="2" t="inlineStr">
        <is>
          <t>전국</t>
        </is>
      </c>
      <c r="F218" s="2" t="inlineStr">
        <is>
          <t>히어로 플레이파크</t>
        </is>
      </c>
      <c r="G218" s="2" t="inlineStr">
        <is>
          <t>제주점 보호자 입장권 히어로플레이파크(~10/31)</t>
        </is>
      </c>
      <c r="H218" s="2" t="inlineStr">
        <is>
          <t>대인</t>
        </is>
      </c>
      <c r="I218" s="2" t="inlineStr">
        <is>
          <t>주중+주말</t>
        </is>
      </c>
      <c r="J218" s="2" t="inlineStr">
        <is>
          <t>종일</t>
        </is>
      </c>
      <c r="K218" s="2" t="n">
        <v>10000</v>
      </c>
      <c r="L218" s="2" t="n">
        <v>8900</v>
      </c>
      <c r="M218" s="2" t="n">
        <v>11</v>
      </c>
      <c r="N218" s="2" t="n">
        <v>11</v>
      </c>
      <c r="O218" s="2" t="inlineStr">
        <is>
          <t>1</t>
        </is>
      </c>
      <c r="P218" s="2" t="inlineStr">
        <is>
          <t>구매일</t>
        </is>
      </c>
      <c r="Q218" s="2" t="inlineStr">
        <is>
          <t>0</t>
        </is>
      </c>
      <c r="R218" s="2" t="inlineStr">
        <is>
          <t>날짜지정</t>
        </is>
      </c>
      <c r="S218" s="2" t="inlineStr">
        <is>
          <t>2026-10-31</t>
        </is>
      </c>
      <c r="T218" s="2" t="b">
        <v>0</v>
      </c>
    </row>
    <row r="219">
      <c r="A219" s="2" t="inlineStr">
        <is>
          <t>329623</t>
        </is>
      </c>
      <c r="B219" s="2" t="inlineStr">
        <is>
          <t>4285844</t>
        </is>
      </c>
      <c r="C219" s="2" t="inlineStr">
        <is>
          <t>테마파크</t>
        </is>
      </c>
      <c r="D219" s="2" t="inlineStr">
        <is>
          <t>테마파크</t>
        </is>
      </c>
      <c r="E219" s="2" t="inlineStr">
        <is>
          <t>전국</t>
        </is>
      </c>
      <c r="F219" s="2" t="inlineStr">
        <is>
          <t>히어로 플레이파크</t>
        </is>
      </c>
      <c r="G219" s="2" t="inlineStr">
        <is>
          <t>대구침산점 반일 소인권 히어로플레이파크(5시간)(~10/31)</t>
        </is>
      </c>
      <c r="H219" s="2" t="inlineStr">
        <is>
          <t>소인</t>
        </is>
      </c>
      <c r="I219" s="2" t="inlineStr">
        <is>
          <t>주중+주말</t>
        </is>
      </c>
      <c r="J219" s="2" t="inlineStr">
        <is>
          <t>종일</t>
        </is>
      </c>
      <c r="K219" s="2" t="n">
        <v>30000</v>
      </c>
      <c r="L219" s="2" t="n">
        <v>21600</v>
      </c>
      <c r="M219" s="2" t="n">
        <v>28</v>
      </c>
      <c r="N219" s="2" t="n">
        <v>28</v>
      </c>
      <c r="O219" s="2" t="inlineStr">
        <is>
          <t>1</t>
        </is>
      </c>
      <c r="P219" s="2" t="inlineStr">
        <is>
          <t>구매일</t>
        </is>
      </c>
      <c r="Q219" s="2" t="inlineStr">
        <is>
          <t>0</t>
        </is>
      </c>
      <c r="R219" s="2" t="inlineStr">
        <is>
          <t>날짜지정</t>
        </is>
      </c>
      <c r="S219" s="2" t="inlineStr">
        <is>
          <t>2026-10-31</t>
        </is>
      </c>
      <c r="T219" s="2" t="b">
        <v>0</v>
      </c>
    </row>
    <row r="220">
      <c r="A220" s="2" t="inlineStr">
        <is>
          <t>329623</t>
        </is>
      </c>
      <c r="B220" s="2" t="inlineStr">
        <is>
          <t>4285845</t>
        </is>
      </c>
      <c r="C220" s="2" t="inlineStr">
        <is>
          <t>테마파크</t>
        </is>
      </c>
      <c r="D220" s="2" t="inlineStr">
        <is>
          <t>테마파크</t>
        </is>
      </c>
      <c r="E220" s="2" t="inlineStr">
        <is>
          <t>전국</t>
        </is>
      </c>
      <c r="F220" s="2" t="inlineStr">
        <is>
          <t>히어로 플레이파크</t>
        </is>
      </c>
      <c r="G220" s="2" t="inlineStr">
        <is>
          <t>대구침산점 보호자 입장권 히어로플레이파크(~10/31)</t>
        </is>
      </c>
      <c r="H220" s="2" t="inlineStr">
        <is>
          <t>대인</t>
        </is>
      </c>
      <c r="I220" s="2" t="inlineStr">
        <is>
          <t>주중+주말</t>
        </is>
      </c>
      <c r="J220" s="2" t="inlineStr">
        <is>
          <t>종일</t>
        </is>
      </c>
      <c r="K220" s="2" t="n">
        <v>10000</v>
      </c>
      <c r="L220" s="2" t="n">
        <v>8900</v>
      </c>
      <c r="M220" s="2" t="n">
        <v>11</v>
      </c>
      <c r="N220" s="2" t="n">
        <v>11</v>
      </c>
      <c r="O220" s="2" t="inlineStr">
        <is>
          <t>1</t>
        </is>
      </c>
      <c r="P220" s="2" t="inlineStr">
        <is>
          <t>구매일</t>
        </is>
      </c>
      <c r="Q220" s="2" t="inlineStr">
        <is>
          <t>0</t>
        </is>
      </c>
      <c r="R220" s="2" t="inlineStr">
        <is>
          <t>날짜지정</t>
        </is>
      </c>
      <c r="S220" s="2" t="inlineStr">
        <is>
          <t>2026-10-31</t>
        </is>
      </c>
      <c r="T220" s="2" t="b">
        <v>0</v>
      </c>
    </row>
    <row r="221">
      <c r="A221" s="2" t="inlineStr">
        <is>
          <t>329623</t>
        </is>
      </c>
      <c r="B221" s="2" t="inlineStr">
        <is>
          <t>4285846</t>
        </is>
      </c>
      <c r="C221" s="2" t="inlineStr">
        <is>
          <t>테마파크</t>
        </is>
      </c>
      <c r="D221" s="2" t="inlineStr">
        <is>
          <t>테마파크</t>
        </is>
      </c>
      <c r="E221" s="2" t="inlineStr">
        <is>
          <t>전국</t>
        </is>
      </c>
      <c r="F221" s="2" t="inlineStr">
        <is>
          <t>히어로 플레이파크</t>
        </is>
      </c>
      <c r="G221" s="2" t="inlineStr">
        <is>
          <t>광주점 반일 소인권 히어로플레이파크(5시간)(~10/31)</t>
        </is>
      </c>
      <c r="H221" s="2" t="inlineStr">
        <is>
          <t>소인</t>
        </is>
      </c>
      <c r="I221" s="2" t="inlineStr">
        <is>
          <t>주중+주말</t>
        </is>
      </c>
      <c r="J221" s="2" t="inlineStr">
        <is>
          <t>종일</t>
        </is>
      </c>
      <c r="K221" s="2" t="n">
        <v>30000</v>
      </c>
      <c r="L221" s="2" t="n">
        <v>21600</v>
      </c>
      <c r="M221" s="2" t="n">
        <v>28</v>
      </c>
      <c r="N221" s="2" t="n">
        <v>28</v>
      </c>
      <c r="O221" s="2" t="inlineStr">
        <is>
          <t>1</t>
        </is>
      </c>
      <c r="P221" s="2" t="inlineStr">
        <is>
          <t>구매일</t>
        </is>
      </c>
      <c r="Q221" s="2" t="inlineStr">
        <is>
          <t>0</t>
        </is>
      </c>
      <c r="R221" s="2" t="inlineStr">
        <is>
          <t>날짜지정</t>
        </is>
      </c>
      <c r="S221" s="2" t="inlineStr">
        <is>
          <t>2026-10-31</t>
        </is>
      </c>
      <c r="T221" s="2" t="b">
        <v>0</v>
      </c>
    </row>
    <row r="222">
      <c r="A222" s="2" t="inlineStr">
        <is>
          <t>329623</t>
        </is>
      </c>
      <c r="B222" s="2" t="inlineStr">
        <is>
          <t>4285847</t>
        </is>
      </c>
      <c r="C222" s="2" t="inlineStr">
        <is>
          <t>테마파크</t>
        </is>
      </c>
      <c r="D222" s="2" t="inlineStr">
        <is>
          <t>테마파크</t>
        </is>
      </c>
      <c r="E222" s="2" t="inlineStr">
        <is>
          <t>전국</t>
        </is>
      </c>
      <c r="F222" s="2" t="inlineStr">
        <is>
          <t>히어로 플레이파크</t>
        </is>
      </c>
      <c r="G222" s="2" t="inlineStr">
        <is>
          <t>광주점 보호자 입장권 히어로플레이파크(~10/31)</t>
        </is>
      </c>
      <c r="H222" s="2" t="inlineStr">
        <is>
          <t>대인</t>
        </is>
      </c>
      <c r="I222" s="2" t="inlineStr">
        <is>
          <t>주중+주말</t>
        </is>
      </c>
      <c r="J222" s="2" t="inlineStr">
        <is>
          <t>종일</t>
        </is>
      </c>
      <c r="K222" s="2" t="n">
        <v>10000</v>
      </c>
      <c r="L222" s="2" t="n">
        <v>6300</v>
      </c>
      <c r="M222" s="2" t="n">
        <v>37</v>
      </c>
      <c r="N222" s="2" t="n">
        <v>37</v>
      </c>
      <c r="O222" s="2" t="inlineStr">
        <is>
          <t>1</t>
        </is>
      </c>
      <c r="P222" s="2" t="inlineStr">
        <is>
          <t>구매일</t>
        </is>
      </c>
      <c r="Q222" s="2" t="inlineStr">
        <is>
          <t>0</t>
        </is>
      </c>
      <c r="R222" s="2" t="inlineStr">
        <is>
          <t>날짜지정</t>
        </is>
      </c>
      <c r="S222" s="2" t="inlineStr">
        <is>
          <t>2026-10-31</t>
        </is>
      </c>
      <c r="T222" s="2" t="b">
        <v>0</v>
      </c>
    </row>
    <row r="223">
      <c r="A223" s="2" t="inlineStr">
        <is>
          <t>329623</t>
        </is>
      </c>
      <c r="B223" s="2" t="inlineStr">
        <is>
          <t>4285848</t>
        </is>
      </c>
      <c r="C223" s="2" t="inlineStr">
        <is>
          <t>테마파크</t>
        </is>
      </c>
      <c r="D223" s="2" t="inlineStr">
        <is>
          <t>테마파크</t>
        </is>
      </c>
      <c r="E223" s="2" t="inlineStr">
        <is>
          <t>전국</t>
        </is>
      </c>
      <c r="F223" s="2" t="inlineStr">
        <is>
          <t>히어로 플레이파크</t>
        </is>
      </c>
      <c r="G223" s="2" t="inlineStr">
        <is>
          <t>진주점 반일 소인권 히어로플레이파크(5시간)(~10/31)</t>
        </is>
      </c>
      <c r="H223" s="2" t="inlineStr">
        <is>
          <t>소인</t>
        </is>
      </c>
      <c r="I223" s="2" t="inlineStr">
        <is>
          <t>주중+주말</t>
        </is>
      </c>
      <c r="J223" s="2" t="inlineStr">
        <is>
          <t>종일</t>
        </is>
      </c>
      <c r="K223" s="2" t="n">
        <v>30000</v>
      </c>
      <c r="L223" s="2" t="n">
        <v>21600</v>
      </c>
      <c r="M223" s="2" t="n">
        <v>28</v>
      </c>
      <c r="N223" s="2" t="n">
        <v>28</v>
      </c>
      <c r="O223" s="2" t="inlineStr">
        <is>
          <t>1</t>
        </is>
      </c>
      <c r="P223" s="2" t="inlineStr">
        <is>
          <t>구매일</t>
        </is>
      </c>
      <c r="Q223" s="2" t="inlineStr">
        <is>
          <t>0</t>
        </is>
      </c>
      <c r="R223" s="2" t="inlineStr">
        <is>
          <t>날짜지정</t>
        </is>
      </c>
      <c r="S223" s="2" t="inlineStr">
        <is>
          <t>2026-10-31</t>
        </is>
      </c>
      <c r="T223" s="2" t="b">
        <v>0</v>
      </c>
    </row>
    <row r="224">
      <c r="A224" s="2" t="inlineStr">
        <is>
          <t>329623</t>
        </is>
      </c>
      <c r="B224" s="2" t="inlineStr">
        <is>
          <t>4285849</t>
        </is>
      </c>
      <c r="C224" s="2" t="inlineStr">
        <is>
          <t>테마파크</t>
        </is>
      </c>
      <c r="D224" s="2" t="inlineStr">
        <is>
          <t>테마파크</t>
        </is>
      </c>
      <c r="E224" s="2" t="inlineStr">
        <is>
          <t>전국</t>
        </is>
      </c>
      <c r="F224" s="2" t="inlineStr">
        <is>
          <t>히어로 플레이파크</t>
        </is>
      </c>
      <c r="G224" s="2" t="inlineStr">
        <is>
          <t>진주점 보호자 입장권 히어로플레이파크(~10/31)</t>
        </is>
      </c>
      <c r="H224" s="2" t="inlineStr">
        <is>
          <t>대인</t>
        </is>
      </c>
      <c r="I224" s="2" t="inlineStr">
        <is>
          <t>주중+주말</t>
        </is>
      </c>
      <c r="J224" s="2" t="inlineStr">
        <is>
          <t>종일</t>
        </is>
      </c>
      <c r="K224" s="2" t="n">
        <v>10000</v>
      </c>
      <c r="L224" s="2" t="n">
        <v>8900</v>
      </c>
      <c r="M224" s="2" t="n">
        <v>11</v>
      </c>
      <c r="N224" s="2" t="n">
        <v>11</v>
      </c>
      <c r="O224" s="2" t="inlineStr">
        <is>
          <t>1</t>
        </is>
      </c>
      <c r="P224" s="2" t="inlineStr">
        <is>
          <t>구매일</t>
        </is>
      </c>
      <c r="Q224" s="2" t="inlineStr">
        <is>
          <t>0</t>
        </is>
      </c>
      <c r="R224" s="2" t="inlineStr">
        <is>
          <t>날짜지정</t>
        </is>
      </c>
      <c r="S224" s="2" t="inlineStr">
        <is>
          <t>2026-10-31</t>
        </is>
      </c>
      <c r="T224" s="2" t="b">
        <v>0</v>
      </c>
    </row>
    <row r="225">
      <c r="A225" s="2" t="inlineStr">
        <is>
          <t>329560</t>
        </is>
      </c>
      <c r="B225" s="2" t="inlineStr">
        <is>
          <t>4279231</t>
        </is>
      </c>
      <c r="C225" s="2" t="inlineStr">
        <is>
          <t>테마파크</t>
        </is>
      </c>
      <c r="D225" s="2" t="inlineStr">
        <is>
          <t>테마파크</t>
        </is>
      </c>
      <c r="E225" s="2" t="inlineStr">
        <is>
          <t>여수</t>
        </is>
      </c>
      <c r="F225" s="2" t="inlineStr">
        <is>
          <t>녹테마레 위드미디어</t>
        </is>
      </c>
      <c r="G225" s="2" t="inlineStr">
        <is>
          <t>성인 이용권 녹테마레(~10/31)</t>
        </is>
      </c>
      <c r="H225" s="2" t="inlineStr">
        <is>
          <t>대인</t>
        </is>
      </c>
      <c r="I225" s="2" t="inlineStr">
        <is>
          <t>주중+주말</t>
        </is>
      </c>
      <c r="J225" s="2" t="inlineStr">
        <is>
          <t>종일</t>
        </is>
      </c>
      <c r="K225" s="2" t="n">
        <v>20000</v>
      </c>
      <c r="L225" s="2" t="n">
        <v>13900</v>
      </c>
      <c r="M225" s="2" t="n">
        <v>31</v>
      </c>
      <c r="N225" s="2" t="n">
        <v>30.5</v>
      </c>
      <c r="O225" s="2" t="inlineStr">
        <is>
          <t>1</t>
        </is>
      </c>
      <c r="P225" s="2" t="inlineStr">
        <is>
          <t>구매일</t>
        </is>
      </c>
      <c r="Q225" s="2" t="inlineStr">
        <is>
          <t>0</t>
        </is>
      </c>
      <c r="R225" s="2" t="inlineStr">
        <is>
          <t>날짜지정</t>
        </is>
      </c>
      <c r="S225" s="2" t="inlineStr">
        <is>
          <t>2026-10-31</t>
        </is>
      </c>
      <c r="T225" s="2" t="b">
        <v>1</v>
      </c>
    </row>
    <row r="226">
      <c r="A226" s="2" t="inlineStr">
        <is>
          <t>329560</t>
        </is>
      </c>
      <c r="B226" s="2" t="inlineStr">
        <is>
          <t>4279232</t>
        </is>
      </c>
      <c r="C226" s="2" t="inlineStr">
        <is>
          <t>테마파크</t>
        </is>
      </c>
      <c r="D226" s="2" t="inlineStr">
        <is>
          <t>테마파크</t>
        </is>
      </c>
      <c r="E226" s="2" t="inlineStr">
        <is>
          <t>여수</t>
        </is>
      </c>
      <c r="F226" s="2" t="inlineStr">
        <is>
          <t>녹테마레 위드미디어</t>
        </is>
      </c>
      <c r="G226" s="2" t="inlineStr">
        <is>
          <t>청소년 이용권 녹테마레(~10/31)</t>
        </is>
      </c>
      <c r="H226" s="2" t="inlineStr">
        <is>
          <t>청소년</t>
        </is>
      </c>
      <c r="I226" s="2" t="inlineStr">
        <is>
          <t>주중+주말</t>
        </is>
      </c>
      <c r="J226" s="2" t="inlineStr">
        <is>
          <t>종일</t>
        </is>
      </c>
      <c r="K226" s="2" t="n">
        <v>17000</v>
      </c>
      <c r="L226" s="2" t="n">
        <v>11900</v>
      </c>
      <c r="M226" s="2" t="n">
        <v>30</v>
      </c>
      <c r="N226" s="2" t="n">
        <v>30</v>
      </c>
      <c r="O226" s="2" t="inlineStr">
        <is>
          <t>1</t>
        </is>
      </c>
      <c r="P226" s="2" t="inlineStr">
        <is>
          <t>구매일</t>
        </is>
      </c>
      <c r="Q226" s="2" t="inlineStr">
        <is>
          <t>0</t>
        </is>
      </c>
      <c r="R226" s="2" t="inlineStr">
        <is>
          <t>날짜지정</t>
        </is>
      </c>
      <c r="S226" s="2" t="inlineStr">
        <is>
          <t>2026-10-31</t>
        </is>
      </c>
      <c r="T226" s="2" t="b">
        <v>0</v>
      </c>
    </row>
    <row r="227">
      <c r="A227" s="2" t="inlineStr">
        <is>
          <t>329560</t>
        </is>
      </c>
      <c r="B227" s="2" t="inlineStr">
        <is>
          <t>4279233</t>
        </is>
      </c>
      <c r="C227" s="2" t="inlineStr">
        <is>
          <t>테마파크</t>
        </is>
      </c>
      <c r="D227" s="2" t="inlineStr">
        <is>
          <t>테마파크</t>
        </is>
      </c>
      <c r="E227" s="2" t="inlineStr">
        <is>
          <t>여수</t>
        </is>
      </c>
      <c r="F227" s="2" t="inlineStr">
        <is>
          <t>녹테마레 위드미디어</t>
        </is>
      </c>
      <c r="G227" s="2" t="inlineStr">
        <is>
          <t>소인 이용권 녹테마레(~10/31)</t>
        </is>
      </c>
      <c r="H227" s="2" t="inlineStr">
        <is>
          <t>소인</t>
        </is>
      </c>
      <c r="I227" s="2" t="inlineStr">
        <is>
          <t>주중+주말</t>
        </is>
      </c>
      <c r="J227" s="2" t="inlineStr">
        <is>
          <t>종일</t>
        </is>
      </c>
      <c r="K227" s="2" t="n">
        <v>15000</v>
      </c>
      <c r="L227" s="2" t="n">
        <v>10500</v>
      </c>
      <c r="M227" s="2" t="n">
        <v>30</v>
      </c>
      <c r="N227" s="2" t="n">
        <v>30</v>
      </c>
      <c r="O227" s="2" t="inlineStr">
        <is>
          <t>1</t>
        </is>
      </c>
      <c r="P227" s="2" t="inlineStr">
        <is>
          <t>구매일</t>
        </is>
      </c>
      <c r="Q227" s="2" t="inlineStr">
        <is>
          <t>0</t>
        </is>
      </c>
      <c r="R227" s="2" t="inlineStr">
        <is>
          <t>날짜지정</t>
        </is>
      </c>
      <c r="S227" s="2" t="inlineStr">
        <is>
          <t>2026-10-31</t>
        </is>
      </c>
      <c r="T227" s="2" t="b">
        <v>0</v>
      </c>
    </row>
    <row r="228">
      <c r="A228" s="2" t="inlineStr">
        <is>
          <t>327977</t>
        </is>
      </c>
      <c r="B228" s="2" t="inlineStr">
        <is>
          <t>4231902</t>
        </is>
      </c>
      <c r="C228" s="2" t="inlineStr">
        <is>
          <t>테마파크</t>
        </is>
      </c>
      <c r="D228" s="2" t="inlineStr">
        <is>
          <t>테마파크</t>
        </is>
      </c>
      <c r="E228" s="2" t="inlineStr">
        <is>
          <t>경주</t>
        </is>
      </c>
      <c r="F228" s="2" t="inlineStr">
        <is>
          <t>라원 미디어아트 복합문화정원</t>
        </is>
      </c>
      <c r="G228" s="2" t="inlineStr">
        <is>
          <t>소인(초등학생) 이용권 라원 미디어아트(~10/31)</t>
        </is>
      </c>
      <c r="H228" s="2" t="inlineStr">
        <is>
          <t>소인</t>
        </is>
      </c>
      <c r="I228" s="2" t="inlineStr">
        <is>
          <t>주중+주말</t>
        </is>
      </c>
      <c r="J228" s="2" t="inlineStr">
        <is>
          <t>종일</t>
        </is>
      </c>
      <c r="K228" s="2" t="n">
        <v>10000</v>
      </c>
      <c r="L228" s="2" t="n">
        <v>9000</v>
      </c>
      <c r="M228" s="2" t="n">
        <v>10</v>
      </c>
      <c r="N228" s="2" t="n">
        <v>10</v>
      </c>
      <c r="O228" s="2" t="inlineStr">
        <is>
          <t>1</t>
        </is>
      </c>
      <c r="P228" s="2" t="inlineStr">
        <is>
          <t>구매일</t>
        </is>
      </c>
      <c r="Q228" s="2" t="inlineStr">
        <is>
          <t>0</t>
        </is>
      </c>
      <c r="R228" s="2" t="inlineStr">
        <is>
          <t>날짜지정</t>
        </is>
      </c>
      <c r="S228" s="2" t="inlineStr">
        <is>
          <t>2026-10-31</t>
        </is>
      </c>
      <c r="T228" s="2" t="b">
        <v>1</v>
      </c>
    </row>
    <row r="229">
      <c r="A229" s="2" t="inlineStr">
        <is>
          <t>327977</t>
        </is>
      </c>
      <c r="B229" s="2" t="inlineStr">
        <is>
          <t>4231901</t>
        </is>
      </c>
      <c r="C229" s="2" t="inlineStr">
        <is>
          <t>테마파크</t>
        </is>
      </c>
      <c r="D229" s="2" t="inlineStr">
        <is>
          <t>테마파크</t>
        </is>
      </c>
      <c r="E229" s="2" t="inlineStr">
        <is>
          <t>경주</t>
        </is>
      </c>
      <c r="F229" s="2" t="inlineStr">
        <is>
          <t>라원 미디어아트 복합문화정원</t>
        </is>
      </c>
      <c r="G229" s="2" t="inlineStr">
        <is>
          <t>청소년 이용권 라원 미디어아트(~10/31)</t>
        </is>
      </c>
      <c r="H229" s="2" t="inlineStr">
        <is>
          <t>청소년</t>
        </is>
      </c>
      <c r="I229" s="2" t="inlineStr">
        <is>
          <t>주중+주말</t>
        </is>
      </c>
      <c r="J229" s="2" t="inlineStr">
        <is>
          <t>종일</t>
        </is>
      </c>
      <c r="K229" s="2" t="n">
        <v>13000</v>
      </c>
      <c r="L229" s="2" t="n">
        <v>11500</v>
      </c>
      <c r="M229" s="2" t="n">
        <v>12</v>
      </c>
      <c r="N229" s="2" t="n">
        <v>11.5</v>
      </c>
      <c r="O229" s="2" t="inlineStr">
        <is>
          <t>1</t>
        </is>
      </c>
      <c r="P229" s="2" t="inlineStr">
        <is>
          <t>구매일</t>
        </is>
      </c>
      <c r="Q229" s="2" t="inlineStr">
        <is>
          <t>0</t>
        </is>
      </c>
      <c r="R229" s="2" t="inlineStr">
        <is>
          <t>날짜지정</t>
        </is>
      </c>
      <c r="S229" s="2" t="inlineStr">
        <is>
          <t>2026-10-31</t>
        </is>
      </c>
      <c r="T229" s="2" t="b">
        <v>0</v>
      </c>
    </row>
    <row r="230">
      <c r="A230" s="2" t="inlineStr">
        <is>
          <t>327977</t>
        </is>
      </c>
      <c r="B230" s="2" t="inlineStr">
        <is>
          <t>4231900</t>
        </is>
      </c>
      <c r="C230" s="2" t="inlineStr">
        <is>
          <t>테마파크</t>
        </is>
      </c>
      <c r="D230" s="2" t="inlineStr">
        <is>
          <t>테마파크</t>
        </is>
      </c>
      <c r="E230" s="2" t="inlineStr">
        <is>
          <t>경주</t>
        </is>
      </c>
      <c r="F230" s="2" t="inlineStr">
        <is>
          <t>라원 미디어아트 복합문화정원</t>
        </is>
      </c>
      <c r="G230" s="2" t="inlineStr">
        <is>
          <t>대인 이용권 라원 미디어아트(~10/31)</t>
        </is>
      </c>
      <c r="H230" s="2" t="inlineStr">
        <is>
          <t>대인</t>
        </is>
      </c>
      <c r="I230" s="2" t="inlineStr">
        <is>
          <t>주중+주말</t>
        </is>
      </c>
      <c r="J230" s="2" t="inlineStr">
        <is>
          <t>종일</t>
        </is>
      </c>
      <c r="K230" s="2" t="n">
        <v>16000</v>
      </c>
      <c r="L230" s="2" t="n">
        <v>14000</v>
      </c>
      <c r="M230" s="2" t="n">
        <v>13</v>
      </c>
      <c r="N230" s="2" t="n">
        <v>12.5</v>
      </c>
      <c r="O230" s="2" t="inlineStr">
        <is>
          <t>1</t>
        </is>
      </c>
      <c r="P230" s="2" t="inlineStr">
        <is>
          <t>구매일</t>
        </is>
      </c>
      <c r="Q230" s="2" t="inlineStr">
        <is>
          <t>0</t>
        </is>
      </c>
      <c r="R230" s="2" t="inlineStr">
        <is>
          <t>날짜지정</t>
        </is>
      </c>
      <c r="S230" s="2" t="inlineStr">
        <is>
          <t>2026-10-31</t>
        </is>
      </c>
      <c r="T230" s="2" t="b">
        <v>0</v>
      </c>
    </row>
    <row r="231">
      <c r="A231" s="2" t="inlineStr">
        <is>
          <t>328925</t>
        </is>
      </c>
      <c r="B231" s="2" t="inlineStr">
        <is>
          <t>4264677</t>
        </is>
      </c>
      <c r="C231" s="2" t="inlineStr">
        <is>
          <t>전시</t>
        </is>
      </c>
      <c r="D231" s="2" t="inlineStr">
        <is>
          <t>박물관</t>
        </is>
      </c>
      <c r="E231" s="2" t="inlineStr">
        <is>
          <t>서울</t>
        </is>
      </c>
      <c r="F231" s="2" t="inlineStr">
        <is>
          <t>봉주르, 장자크 상페</t>
        </is>
      </c>
      <c r="G231" s="2" t="inlineStr">
        <is>
          <t>소인 입장권 장자크 상페(~27/01/03)</t>
        </is>
      </c>
      <c r="H231" s="2" t="inlineStr">
        <is>
          <t>소인</t>
        </is>
      </c>
      <c r="I231" s="2" t="inlineStr">
        <is>
          <t>주중+주말</t>
        </is>
      </c>
      <c r="J231" s="2" t="inlineStr">
        <is>
          <t>종일</t>
        </is>
      </c>
      <c r="K231" s="2" t="n">
        <v>25000</v>
      </c>
      <c r="L231" s="2" t="n">
        <v>11000</v>
      </c>
      <c r="M231" s="2" t="n">
        <v>56</v>
      </c>
      <c r="N231" s="2" t="n">
        <v>56</v>
      </c>
      <c r="O231" s="2" t="inlineStr">
        <is>
          <t>1</t>
        </is>
      </c>
      <c r="P231" s="2" t="inlineStr">
        <is>
          <t>구매일</t>
        </is>
      </c>
      <c r="Q231" s="2" t="inlineStr">
        <is>
          <t>0</t>
        </is>
      </c>
      <c r="R231" s="2" t="inlineStr">
        <is>
          <t>날짜지정</t>
        </is>
      </c>
      <c r="S231" s="2" t="inlineStr">
        <is>
          <t>2027-01-03</t>
        </is>
      </c>
      <c r="T231" s="2" t="b">
        <v>1</v>
      </c>
    </row>
    <row r="232">
      <c r="A232" s="2" t="inlineStr">
        <is>
          <t>328925</t>
        </is>
      </c>
      <c r="B232" s="2" t="inlineStr">
        <is>
          <t>4264676</t>
        </is>
      </c>
      <c r="C232" s="2" t="inlineStr">
        <is>
          <t>전시</t>
        </is>
      </c>
      <c r="D232" s="2" t="inlineStr">
        <is>
          <t>박물관</t>
        </is>
      </c>
      <c r="E232" s="2" t="inlineStr">
        <is>
          <t>서울</t>
        </is>
      </c>
      <c r="F232" s="2" t="inlineStr">
        <is>
          <t>봉주르, 장자크 상페</t>
        </is>
      </c>
      <c r="G232" s="2" t="inlineStr">
        <is>
          <t>청소년 입장권 장자크 상페(~27/01/03)</t>
        </is>
      </c>
      <c r="H232" s="2" t="inlineStr">
        <is>
          <t>청소년</t>
        </is>
      </c>
      <c r="I232" s="2" t="inlineStr">
        <is>
          <t>주중+주말</t>
        </is>
      </c>
      <c r="J232" s="2" t="inlineStr">
        <is>
          <t>종일</t>
        </is>
      </c>
      <c r="K232" s="2" t="n">
        <v>25000</v>
      </c>
      <c r="L232" s="2" t="n">
        <v>15000</v>
      </c>
      <c r="M232" s="2" t="n">
        <v>40</v>
      </c>
      <c r="N232" s="2" t="n">
        <v>40</v>
      </c>
      <c r="O232" s="2" t="inlineStr">
        <is>
          <t>1</t>
        </is>
      </c>
      <c r="P232" s="2" t="inlineStr">
        <is>
          <t>구매일</t>
        </is>
      </c>
      <c r="Q232" s="2" t="inlineStr">
        <is>
          <t>0</t>
        </is>
      </c>
      <c r="R232" s="2" t="inlineStr">
        <is>
          <t>날짜지정</t>
        </is>
      </c>
      <c r="S232" s="2" t="inlineStr">
        <is>
          <t>2027-01-03</t>
        </is>
      </c>
      <c r="T232" s="2" t="b">
        <v>0</v>
      </c>
    </row>
    <row r="233">
      <c r="A233" s="2" t="inlineStr">
        <is>
          <t>328925</t>
        </is>
      </c>
      <c r="B233" s="2" t="inlineStr">
        <is>
          <t>4264675</t>
        </is>
      </c>
      <c r="C233" s="2" t="inlineStr">
        <is>
          <t>전시</t>
        </is>
      </c>
      <c r="D233" s="2" t="inlineStr">
        <is>
          <t>박물관</t>
        </is>
      </c>
      <c r="E233" s="2" t="inlineStr">
        <is>
          <t>서울</t>
        </is>
      </c>
      <c r="F233" s="2" t="inlineStr">
        <is>
          <t>봉주르, 장자크 상페</t>
        </is>
      </c>
      <c r="G233" s="2" t="inlineStr">
        <is>
          <t>성인 입장권 장자크 상페(~27/01/03)</t>
        </is>
      </c>
      <c r="H233" s="2" t="inlineStr">
        <is>
          <t>대인</t>
        </is>
      </c>
      <c r="I233" s="2" t="inlineStr">
        <is>
          <t>주중+주말</t>
        </is>
      </c>
      <c r="J233" s="2" t="inlineStr">
        <is>
          <t>종일</t>
        </is>
      </c>
      <c r="K233" s="2" t="n">
        <v>25000</v>
      </c>
      <c r="L233" s="2" t="n">
        <v>19000</v>
      </c>
      <c r="M233" s="2" t="n">
        <v>24</v>
      </c>
      <c r="N233" s="2" t="n">
        <v>24</v>
      </c>
      <c r="O233" s="2" t="inlineStr">
        <is>
          <t>1</t>
        </is>
      </c>
      <c r="P233" s="2" t="inlineStr">
        <is>
          <t>구매일</t>
        </is>
      </c>
      <c r="Q233" s="2" t="inlineStr">
        <is>
          <t>0</t>
        </is>
      </c>
      <c r="R233" s="2" t="inlineStr">
        <is>
          <t>날짜지정</t>
        </is>
      </c>
      <c r="S233" s="2" t="inlineStr">
        <is>
          <t>2027-01-03</t>
        </is>
      </c>
      <c r="T233" s="2" t="b">
        <v>0</v>
      </c>
    </row>
    <row r="234">
      <c r="A234" s="2" t="inlineStr">
        <is>
          <t>326528</t>
        </is>
      </c>
      <c r="B234" s="2" t="inlineStr">
        <is>
          <t>4196489</t>
        </is>
      </c>
      <c r="C234" s="2" t="inlineStr">
        <is>
          <t>공연</t>
        </is>
      </c>
      <c r="D234" s="2" t="inlineStr">
        <is>
          <t>뮤지컬</t>
        </is>
      </c>
      <c r="E234" s="2" t="inlineStr">
        <is>
          <t>서울</t>
        </is>
      </c>
      <c r="F234" s="2" t="inlineStr">
        <is>
          <t>페인터즈</t>
        </is>
      </c>
      <c r="G234" s="2" t="inlineStr">
        <is>
          <t>(광화문전용관)비지정 VIP석 14:00 페인터즈</t>
        </is>
      </c>
      <c r="H234" s="2" t="inlineStr">
        <is>
          <t>대소공통</t>
        </is>
      </c>
      <c r="I234" s="2" t="inlineStr">
        <is>
          <t>주중+주말</t>
        </is>
      </c>
      <c r="J234" s="2" t="inlineStr"/>
      <c r="K234" s="2" t="n">
        <v>70000</v>
      </c>
      <c r="L234" s="2" t="n">
        <v>35000</v>
      </c>
      <c r="M234" s="2" t="n">
        <v>50</v>
      </c>
      <c r="N234" s="2" t="n">
        <v>50</v>
      </c>
      <c r="O234" s="2" t="inlineStr">
        <is>
          <t>1</t>
        </is>
      </c>
      <c r="P234" s="2" t="inlineStr">
        <is>
          <t>구매일</t>
        </is>
      </c>
      <c r="Q234" s="2" t="inlineStr">
        <is>
          <t>0</t>
        </is>
      </c>
      <c r="R234" s="2" t="inlineStr">
        <is>
          <t>날짜지정</t>
        </is>
      </c>
      <c r="S234" s="2" t="inlineStr">
        <is>
          <t>2026-12-31</t>
        </is>
      </c>
      <c r="T234" s="2" t="b">
        <v>1</v>
      </c>
    </row>
    <row r="235">
      <c r="A235" s="2" t="inlineStr">
        <is>
          <t>326528</t>
        </is>
      </c>
      <c r="B235" s="2" t="inlineStr">
        <is>
          <t>4196490</t>
        </is>
      </c>
      <c r="C235" s="2" t="inlineStr">
        <is>
          <t>공연</t>
        </is>
      </c>
      <c r="D235" s="2" t="inlineStr">
        <is>
          <t>뮤지컬</t>
        </is>
      </c>
      <c r="E235" s="2" t="inlineStr">
        <is>
          <t>서울</t>
        </is>
      </c>
      <c r="F235" s="2" t="inlineStr">
        <is>
          <t>페인터즈</t>
        </is>
      </c>
      <c r="G235" s="2" t="inlineStr">
        <is>
          <t>(광화문전용관)비지정 VIP석 17:00 페인터즈</t>
        </is>
      </c>
      <c r="H235" s="2" t="inlineStr">
        <is>
          <t>대소공통</t>
        </is>
      </c>
      <c r="I235" s="2" t="inlineStr">
        <is>
          <t>주중+주말</t>
        </is>
      </c>
      <c r="J235" s="2" t="inlineStr"/>
      <c r="K235" s="2" t="n">
        <v>70000</v>
      </c>
      <c r="L235" s="2" t="n">
        <v>35000</v>
      </c>
      <c r="M235" s="2" t="n">
        <v>50</v>
      </c>
      <c r="N235" s="2" t="n">
        <v>50</v>
      </c>
      <c r="O235" s="2" t="inlineStr">
        <is>
          <t>1</t>
        </is>
      </c>
      <c r="P235" s="2" t="inlineStr">
        <is>
          <t>구매일</t>
        </is>
      </c>
      <c r="Q235" s="2" t="inlineStr">
        <is>
          <t>0</t>
        </is>
      </c>
      <c r="R235" s="2" t="inlineStr">
        <is>
          <t>날짜지정</t>
        </is>
      </c>
      <c r="S235" s="2" t="inlineStr">
        <is>
          <t>2026-12-31</t>
        </is>
      </c>
      <c r="T235" s="2" t="b">
        <v>0</v>
      </c>
    </row>
    <row r="236">
      <c r="A236" s="2" t="inlineStr">
        <is>
          <t>326528</t>
        </is>
      </c>
      <c r="B236" s="2" t="inlineStr">
        <is>
          <t>4196491</t>
        </is>
      </c>
      <c r="C236" s="2" t="inlineStr">
        <is>
          <t>공연</t>
        </is>
      </c>
      <c r="D236" s="2" t="inlineStr">
        <is>
          <t>뮤지컬</t>
        </is>
      </c>
      <c r="E236" s="2" t="inlineStr">
        <is>
          <t>서울</t>
        </is>
      </c>
      <c r="F236" s="2" t="inlineStr">
        <is>
          <t>페인터즈</t>
        </is>
      </c>
      <c r="G236" s="2" t="inlineStr">
        <is>
          <t>(광화문전용관)비지정 VIP석 20:00 페인터즈</t>
        </is>
      </c>
      <c r="H236" s="2" t="inlineStr">
        <is>
          <t>대소공통</t>
        </is>
      </c>
      <c r="I236" s="2" t="inlineStr">
        <is>
          <t>주중+주말</t>
        </is>
      </c>
      <c r="J236" s="2" t="inlineStr"/>
      <c r="K236" s="2" t="n">
        <v>70000</v>
      </c>
      <c r="L236" s="2" t="n">
        <v>35000</v>
      </c>
      <c r="M236" s="2" t="n">
        <v>50</v>
      </c>
      <c r="N236" s="2" t="n">
        <v>50</v>
      </c>
      <c r="O236" s="2" t="inlineStr">
        <is>
          <t>1</t>
        </is>
      </c>
      <c r="P236" s="2" t="inlineStr">
        <is>
          <t>구매일</t>
        </is>
      </c>
      <c r="Q236" s="2" t="inlineStr">
        <is>
          <t>0</t>
        </is>
      </c>
      <c r="R236" s="2" t="inlineStr">
        <is>
          <t>날짜지정</t>
        </is>
      </c>
      <c r="S236" s="2" t="inlineStr">
        <is>
          <t>2026-12-31</t>
        </is>
      </c>
      <c r="T236" s="2" t="b">
        <v>0</v>
      </c>
    </row>
    <row r="237">
      <c r="A237" s="2" t="inlineStr">
        <is>
          <t>280321</t>
        </is>
      </c>
      <c r="B237" s="2" t="inlineStr">
        <is>
          <t>3144508</t>
        </is>
      </c>
      <c r="C237" s="2" t="inlineStr">
        <is>
          <t>공연</t>
        </is>
      </c>
      <c r="D237" s="2" t="inlineStr">
        <is>
          <t>연극</t>
        </is>
      </c>
      <c r="E237" s="2" t="inlineStr">
        <is>
          <t>서울</t>
        </is>
      </c>
      <c r="F237" s="2" t="inlineStr">
        <is>
          <t>대학로 연극 뷰티풀라이프</t>
        </is>
      </c>
      <c r="G237" s="2" t="inlineStr">
        <is>
          <t>1인 관람권 뷰티풀라이프</t>
        </is>
      </c>
      <c r="H237" s="2" t="inlineStr">
        <is>
          <t>대소공통</t>
        </is>
      </c>
      <c r="I237" s="2" t="inlineStr">
        <is>
          <t>주중+주말</t>
        </is>
      </c>
      <c r="J237" s="2" t="inlineStr">
        <is>
          <t>종일</t>
        </is>
      </c>
      <c r="K237" s="2" t="n">
        <v>50000</v>
      </c>
      <c r="L237" s="2" t="n">
        <v>16000</v>
      </c>
      <c r="M237" s="2" t="n">
        <v>68</v>
      </c>
      <c r="N237" s="2" t="n">
        <v>68</v>
      </c>
      <c r="O237" s="2" t="inlineStr">
        <is>
          <t>1</t>
        </is>
      </c>
      <c r="P237" s="2" t="inlineStr">
        <is>
          <t>구매일</t>
        </is>
      </c>
      <c r="Q237" s="2" t="inlineStr">
        <is>
          <t>0</t>
        </is>
      </c>
      <c r="R237" s="2" t="inlineStr">
        <is>
          <t>구매일</t>
        </is>
      </c>
      <c r="S237" s="2" t="inlineStr">
        <is>
          <t>60</t>
        </is>
      </c>
      <c r="T237" s="2" t="b">
        <v>1</v>
      </c>
    </row>
    <row r="238">
      <c r="A238" s="2" t="inlineStr">
        <is>
          <t>328418</t>
        </is>
      </c>
      <c r="B238" s="2" t="inlineStr">
        <is>
          <t>4252269</t>
        </is>
      </c>
      <c r="C238" s="2" t="inlineStr">
        <is>
          <t>공연</t>
        </is>
      </c>
      <c r="D238" s="2" t="inlineStr">
        <is>
          <t>연극</t>
        </is>
      </c>
      <c r="E238" s="2" t="inlineStr">
        <is>
          <t>서울</t>
        </is>
      </c>
      <c r="F238" s="2" t="inlineStr">
        <is>
          <t>대학로 연극 2호선 세입자</t>
        </is>
      </c>
      <c r="G238" s="2" t="inlineStr">
        <is>
          <t>1인 관람권 2호선세입자(구매 후 30일)</t>
        </is>
      </c>
      <c r="H238" s="2" t="inlineStr">
        <is>
          <t>대소공통</t>
        </is>
      </c>
      <c r="I238" s="2" t="inlineStr">
        <is>
          <t>주중+주말</t>
        </is>
      </c>
      <c r="J238" s="2" t="inlineStr">
        <is>
          <t>종일</t>
        </is>
      </c>
      <c r="K238" s="2" t="n">
        <v>40000</v>
      </c>
      <c r="L238" s="2" t="n">
        <v>14000</v>
      </c>
      <c r="M238" s="2" t="n">
        <v>65</v>
      </c>
      <c r="N238" s="2" t="n">
        <v>65</v>
      </c>
      <c r="O238" s="2" t="inlineStr">
        <is>
          <t>1</t>
        </is>
      </c>
      <c r="P238" s="2" t="inlineStr">
        <is>
          <t>구매일</t>
        </is>
      </c>
      <c r="Q238" s="2" t="inlineStr">
        <is>
          <t>0</t>
        </is>
      </c>
      <c r="R238" s="2" t="inlineStr">
        <is>
          <t>구매일</t>
        </is>
      </c>
      <c r="S238" s="2" t="inlineStr">
        <is>
          <t>30</t>
        </is>
      </c>
      <c r="T238" s="2" t="b">
        <v>1</v>
      </c>
    </row>
    <row r="239">
      <c r="A239" s="2" t="inlineStr">
        <is>
          <t>308015</t>
        </is>
      </c>
      <c r="B239" s="2" t="inlineStr">
        <is>
          <t>3727220</t>
        </is>
      </c>
      <c r="C239" s="2" t="inlineStr">
        <is>
          <t>테마파크</t>
        </is>
      </c>
      <c r="D239" s="2" t="inlineStr">
        <is>
          <t>테마파크</t>
        </is>
      </c>
      <c r="E239" s="2" t="inlineStr">
        <is>
          <t>서울</t>
        </is>
      </c>
      <c r="F239" s="2" t="inlineStr">
        <is>
          <t>N서울타워 전망대 입장권</t>
        </is>
      </c>
      <c r="G239" s="2" t="inlineStr">
        <is>
          <t>N서울타워 전망대 소인 입장권(~12/31)</t>
        </is>
      </c>
      <c r="H239" s="2" t="inlineStr">
        <is>
          <t>소인</t>
        </is>
      </c>
      <c r="I239" s="2" t="inlineStr">
        <is>
          <t>주중+주말</t>
        </is>
      </c>
      <c r="J239" s="2" t="inlineStr">
        <is>
          <t>종일</t>
        </is>
      </c>
      <c r="K239" s="2" t="n">
        <v>23000</v>
      </c>
      <c r="L239" s="2" t="n">
        <v>18200</v>
      </c>
      <c r="M239" s="2" t="n">
        <v>21</v>
      </c>
      <c r="N239" s="2" t="n">
        <v>20.9</v>
      </c>
      <c r="O239" s="2" t="inlineStr">
        <is>
          <t>1</t>
        </is>
      </c>
      <c r="P239" s="2" t="inlineStr">
        <is>
          <t>날짜지정</t>
        </is>
      </c>
      <c r="Q239" s="2" t="inlineStr">
        <is>
          <t>2026-01-01</t>
        </is>
      </c>
      <c r="R239" s="2" t="inlineStr">
        <is>
          <t>날짜지정</t>
        </is>
      </c>
      <c r="S239" s="2" t="inlineStr">
        <is>
          <t>2026-12-31</t>
        </is>
      </c>
      <c r="T239" s="2" t="b">
        <v>1</v>
      </c>
    </row>
    <row r="240">
      <c r="A240" s="2" t="inlineStr">
        <is>
          <t>308015</t>
        </is>
      </c>
      <c r="B240" s="2" t="inlineStr">
        <is>
          <t>3727219</t>
        </is>
      </c>
      <c r="C240" s="2" t="inlineStr">
        <is>
          <t>테마파크</t>
        </is>
      </c>
      <c r="D240" s="2" t="inlineStr">
        <is>
          <t>테마파크</t>
        </is>
      </c>
      <c r="E240" s="2" t="inlineStr">
        <is>
          <t>서울</t>
        </is>
      </c>
      <c r="F240" s="2" t="inlineStr">
        <is>
          <t>N서울타워 전망대 입장권</t>
        </is>
      </c>
      <c r="G240" s="2" t="inlineStr">
        <is>
          <t>N서울타워 전망대 대인 입장권(~12/31)</t>
        </is>
      </c>
      <c r="H240" s="2" t="inlineStr">
        <is>
          <t>대인</t>
        </is>
      </c>
      <c r="I240" s="2" t="inlineStr">
        <is>
          <t>주중+주말</t>
        </is>
      </c>
      <c r="J240" s="2" t="inlineStr">
        <is>
          <t>종일</t>
        </is>
      </c>
      <c r="K240" s="2" t="n">
        <v>29000</v>
      </c>
      <c r="L240" s="2" t="n">
        <v>20500</v>
      </c>
      <c r="M240" s="2" t="n">
        <v>29</v>
      </c>
      <c r="N240" s="2" t="n">
        <v>29.3</v>
      </c>
      <c r="O240" s="2" t="inlineStr">
        <is>
          <t>1</t>
        </is>
      </c>
      <c r="P240" s="2" t="inlineStr">
        <is>
          <t>날짜지정</t>
        </is>
      </c>
      <c r="Q240" s="2" t="inlineStr">
        <is>
          <t>2026-01-01</t>
        </is>
      </c>
      <c r="R240" s="2" t="inlineStr">
        <is>
          <t>날짜지정</t>
        </is>
      </c>
      <c r="S240" s="2" t="inlineStr">
        <is>
          <t>2026-12-31</t>
        </is>
      </c>
      <c r="T240" s="2" t="b">
        <v>0</v>
      </c>
    </row>
    <row r="241">
      <c r="A241" s="2" t="inlineStr">
        <is>
          <t>244498</t>
        </is>
      </c>
      <c r="B241" s="2" t="inlineStr">
        <is>
          <t>2335191</t>
        </is>
      </c>
      <c r="C241" s="2" t="inlineStr">
        <is>
          <t>테마파크</t>
        </is>
      </c>
      <c r="D241" s="2" t="inlineStr">
        <is>
          <t>아쿠아리움</t>
        </is>
      </c>
      <c r="E241" s="2" t="inlineStr">
        <is>
          <t>광교</t>
        </is>
      </c>
      <c r="F241" s="2" t="inlineStr">
        <is>
          <t>광교아쿠아플라넷</t>
        </is>
      </c>
      <c r="G241" s="2" t="inlineStr">
        <is>
          <t>이용권 광교아쿠아플라넷</t>
        </is>
      </c>
      <c r="H241" s="2" t="inlineStr">
        <is>
          <t>대소공통</t>
        </is>
      </c>
      <c r="I241" s="2" t="inlineStr">
        <is>
          <t>주중+주말</t>
        </is>
      </c>
      <c r="J241" s="2" t="inlineStr">
        <is>
          <t>종일</t>
        </is>
      </c>
      <c r="K241" s="2" t="n">
        <v>30000</v>
      </c>
      <c r="L241" s="2" t="n">
        <v>20000</v>
      </c>
      <c r="M241" s="2" t="n">
        <v>33</v>
      </c>
      <c r="N241" s="2" t="n">
        <v>33.3</v>
      </c>
      <c r="O241" s="2" t="inlineStr">
        <is>
          <t>1</t>
        </is>
      </c>
      <c r="P241" s="2" t="inlineStr">
        <is>
          <t>구매일</t>
        </is>
      </c>
      <c r="Q241" s="2" t="inlineStr">
        <is>
          <t>0</t>
        </is>
      </c>
      <c r="R241" s="2" t="inlineStr">
        <is>
          <t>구매일</t>
        </is>
      </c>
      <c r="S241" s="2" t="inlineStr">
        <is>
          <t>60</t>
        </is>
      </c>
      <c r="T241" s="2" t="b">
        <v>1</v>
      </c>
    </row>
    <row r="242">
      <c r="A242" s="2" t="inlineStr">
        <is>
          <t>320158</t>
        </is>
      </c>
      <c r="B242" s="2" t="inlineStr">
        <is>
          <t>4034355</t>
        </is>
      </c>
      <c r="C242" s="2" t="inlineStr">
        <is>
          <t>테마파크</t>
        </is>
      </c>
      <c r="D242" s="2" t="inlineStr">
        <is>
          <t>아쿠아리움</t>
        </is>
      </c>
      <c r="E242" s="2" t="inlineStr">
        <is>
          <t>여수</t>
        </is>
      </c>
      <c r="F242" s="2" t="inlineStr">
        <is>
          <t>여수아쿠아플라넷</t>
        </is>
      </c>
      <c r="G242" s="2" t="inlineStr">
        <is>
          <t>입장권(아쿠아리움+전시+영상관) 여수아쿠아플라넷</t>
        </is>
      </c>
      <c r="H242" s="2" t="inlineStr">
        <is>
          <t>대소공통</t>
        </is>
      </c>
      <c r="I242" s="2" t="inlineStr">
        <is>
          <t>주중+주말</t>
        </is>
      </c>
      <c r="J242" s="2" t="inlineStr">
        <is>
          <t>종일</t>
        </is>
      </c>
      <c r="K242" s="2" t="n">
        <v>36400</v>
      </c>
      <c r="L242" s="2" t="n">
        <v>27000</v>
      </c>
      <c r="M242" s="2" t="n">
        <v>26</v>
      </c>
      <c r="N242" s="2" t="n">
        <v>25.8</v>
      </c>
      <c r="O242" s="2" t="inlineStr">
        <is>
          <t>1</t>
        </is>
      </c>
      <c r="P242" s="2" t="inlineStr">
        <is>
          <t>구매일</t>
        </is>
      </c>
      <c r="Q242" s="2" t="inlineStr">
        <is>
          <t>0</t>
        </is>
      </c>
      <c r="R242" s="2" t="inlineStr">
        <is>
          <t>구매일</t>
        </is>
      </c>
      <c r="S242" s="2" t="inlineStr">
        <is>
          <t>60</t>
        </is>
      </c>
      <c r="T242" s="2" t="b">
        <v>1</v>
      </c>
    </row>
    <row r="243">
      <c r="A243" s="2" t="inlineStr">
        <is>
          <t>280924</t>
        </is>
      </c>
      <c r="B243" s="2" t="inlineStr">
        <is>
          <t>3154177</t>
        </is>
      </c>
      <c r="C243" s="2" t="inlineStr">
        <is>
          <t>테마파크</t>
        </is>
      </c>
      <c r="D243" s="2" t="inlineStr">
        <is>
          <t>아쿠아리움</t>
        </is>
      </c>
      <c r="E243" s="2" t="inlineStr">
        <is>
          <t>대전</t>
        </is>
      </c>
      <c r="F243" s="2" t="inlineStr">
        <is>
          <t>대전엑스포아쿠아리움</t>
        </is>
      </c>
      <c r="G243" s="2" t="inlineStr">
        <is>
          <t>대전엑스포아쿠아리움</t>
        </is>
      </c>
      <c r="H243" s="2" t="inlineStr">
        <is>
          <t>대소공통</t>
        </is>
      </c>
      <c r="I243" s="2" t="inlineStr">
        <is>
          <t>주중+주말</t>
        </is>
      </c>
      <c r="J243" s="2" t="inlineStr">
        <is>
          <t>종일</t>
        </is>
      </c>
      <c r="K243" s="2" t="n">
        <v>32000</v>
      </c>
      <c r="L243" s="2" t="n">
        <v>22400</v>
      </c>
      <c r="M243" s="2" t="n">
        <v>30</v>
      </c>
      <c r="N243" s="2" t="n">
        <v>30</v>
      </c>
      <c r="O243" s="2" t="inlineStr">
        <is>
          <t>1</t>
        </is>
      </c>
      <c r="P243" s="2" t="inlineStr">
        <is>
          <t>구매일</t>
        </is>
      </c>
      <c r="Q243" s="2" t="inlineStr">
        <is>
          <t>0</t>
        </is>
      </c>
      <c r="R243" s="2" t="inlineStr">
        <is>
          <t>구매일</t>
        </is>
      </c>
      <c r="S243" s="2" t="inlineStr">
        <is>
          <t>60</t>
        </is>
      </c>
      <c r="T243" s="2" t="b">
        <v>1</v>
      </c>
    </row>
    <row r="244">
      <c r="A244" s="2" t="inlineStr">
        <is>
          <t>317444</t>
        </is>
      </c>
      <c r="B244" s="2" t="inlineStr">
        <is>
          <t>3968709</t>
        </is>
      </c>
      <c r="C244" s="2" t="inlineStr">
        <is>
          <t>테마파크</t>
        </is>
      </c>
      <c r="D244" s="2" t="inlineStr">
        <is>
          <t>테마파크</t>
        </is>
      </c>
      <c r="E244" s="2" t="inlineStr">
        <is>
          <t>경주</t>
        </is>
      </c>
      <c r="F244" s="2" t="inlineStr">
        <is>
          <t>또봇정크아트+엑스포공원</t>
        </is>
      </c>
      <c r="G244" s="2" t="inlineStr">
        <is>
          <t>또봇정크아트+엑스포공원 이용권(~12/31)</t>
        </is>
      </c>
      <c r="H244" s="2" t="inlineStr">
        <is>
          <t>대소공통</t>
        </is>
      </c>
      <c r="I244" s="2" t="inlineStr">
        <is>
          <t>주중+주말</t>
        </is>
      </c>
      <c r="J244" s="2" t="inlineStr">
        <is>
          <t>종일</t>
        </is>
      </c>
      <c r="K244" s="2" t="n">
        <v>20000</v>
      </c>
      <c r="L244" s="2" t="n">
        <v>10900</v>
      </c>
      <c r="M244" s="2" t="n">
        <v>46</v>
      </c>
      <c r="N244" s="2" t="n">
        <v>45.5</v>
      </c>
      <c r="O244" s="2" t="inlineStr">
        <is>
          <t>1</t>
        </is>
      </c>
      <c r="P244" s="2" t="inlineStr">
        <is>
          <t>날짜지정</t>
        </is>
      </c>
      <c r="Q244" s="2" t="inlineStr">
        <is>
          <t>2026-05-08</t>
        </is>
      </c>
      <c r="R244" s="2" t="inlineStr">
        <is>
          <t>날짜지정</t>
        </is>
      </c>
      <c r="S244" s="2" t="inlineStr">
        <is>
          <t>2026-12-31</t>
        </is>
      </c>
      <c r="T244" s="2" t="b">
        <v>1</v>
      </c>
    </row>
    <row r="245">
      <c r="A245" s="2" t="inlineStr">
        <is>
          <t>327599</t>
        </is>
      </c>
      <c r="B245" s="2" t="inlineStr">
        <is>
          <t>4224763</t>
        </is>
      </c>
      <c r="C245" s="2" t="inlineStr">
        <is>
          <t>테마파크</t>
        </is>
      </c>
      <c r="D245" s="2" t="inlineStr">
        <is>
          <t>테마파크</t>
        </is>
      </c>
      <c r="E245" s="2" t="inlineStr">
        <is>
          <t>경북</t>
        </is>
      </c>
      <c r="F245" s="2" t="inlineStr">
        <is>
          <t>청도 군파크 루지+스카이 리프트</t>
        </is>
      </c>
      <c r="G245" s="2" t="inlineStr">
        <is>
          <t>주중/주말 2회권 군파크 루지+스카이리프트(~10/31)</t>
        </is>
      </c>
      <c r="H245" s="2" t="inlineStr">
        <is>
          <t>대소공통</t>
        </is>
      </c>
      <c r="I245" s="2" t="inlineStr">
        <is>
          <t>주중+주말</t>
        </is>
      </c>
      <c r="J245" s="2" t="inlineStr">
        <is>
          <t>종일</t>
        </is>
      </c>
      <c r="K245" s="2" t="n">
        <v>33000</v>
      </c>
      <c r="L245" s="2" t="n">
        <v>23700</v>
      </c>
      <c r="M245" s="2" t="n">
        <v>28</v>
      </c>
      <c r="N245" s="2" t="n">
        <v>28.2</v>
      </c>
      <c r="O245" s="2" t="inlineStr">
        <is>
          <t>1</t>
        </is>
      </c>
      <c r="P245" s="2" t="inlineStr">
        <is>
          <t>날짜지정</t>
        </is>
      </c>
      <c r="Q245" s="2" t="inlineStr">
        <is>
          <t>2026-03-19</t>
        </is>
      </c>
      <c r="R245" s="2" t="inlineStr">
        <is>
          <t>날짜지정</t>
        </is>
      </c>
      <c r="S245" s="2" t="inlineStr">
        <is>
          <t>2026-10-31</t>
        </is>
      </c>
      <c r="T245" s="2" t="b">
        <v>1</v>
      </c>
    </row>
    <row r="246">
      <c r="A246" s="2" t="inlineStr">
        <is>
          <t>327599</t>
        </is>
      </c>
      <c r="B246" s="2" t="inlineStr">
        <is>
          <t>4224764</t>
        </is>
      </c>
      <c r="C246" s="2" t="inlineStr">
        <is>
          <t>테마파크</t>
        </is>
      </c>
      <c r="D246" s="2" t="inlineStr">
        <is>
          <t>테마파크</t>
        </is>
      </c>
      <c r="E246" s="2" t="inlineStr">
        <is>
          <t>경북</t>
        </is>
      </c>
      <c r="F246" s="2" t="inlineStr">
        <is>
          <t>청도 군파크 루지+스카이 리프트</t>
        </is>
      </c>
      <c r="G246" s="2" t="inlineStr">
        <is>
          <t>주중/주말 3회권 군파크 루지+스카이리프트(~10/31)</t>
        </is>
      </c>
      <c r="H246" s="2" t="inlineStr">
        <is>
          <t>대소공통</t>
        </is>
      </c>
      <c r="I246" s="2" t="inlineStr">
        <is>
          <t>주중+주말</t>
        </is>
      </c>
      <c r="J246" s="2" t="inlineStr">
        <is>
          <t>종일</t>
        </is>
      </c>
      <c r="K246" s="2" t="n">
        <v>40000</v>
      </c>
      <c r="L246" s="2" t="n">
        <v>29400</v>
      </c>
      <c r="M246" s="2" t="n">
        <v>27</v>
      </c>
      <c r="N246" s="2" t="n">
        <v>26.5</v>
      </c>
      <c r="O246" s="2" t="inlineStr">
        <is>
          <t>1</t>
        </is>
      </c>
      <c r="P246" s="2" t="inlineStr">
        <is>
          <t>날짜지정</t>
        </is>
      </c>
      <c r="Q246" s="2" t="inlineStr">
        <is>
          <t>2026-03-19</t>
        </is>
      </c>
      <c r="R246" s="2" t="inlineStr">
        <is>
          <t>날짜지정</t>
        </is>
      </c>
      <c r="S246" s="2" t="inlineStr">
        <is>
          <t>2026-10-31</t>
        </is>
      </c>
      <c r="T246" s="2" t="b">
        <v>0</v>
      </c>
    </row>
    <row r="247">
      <c r="A247" s="2" t="inlineStr">
        <is>
          <t>234364</t>
        </is>
      </c>
      <c r="B247" s="2" t="inlineStr">
        <is>
          <t>2133371</t>
        </is>
      </c>
      <c r="C247" s="2" t="inlineStr">
        <is>
          <t>테마파크</t>
        </is>
      </c>
      <c r="D247" s="2" t="inlineStr">
        <is>
          <t>테마파크</t>
        </is>
      </c>
      <c r="E247" s="2" t="inlineStr">
        <is>
          <t>양평</t>
        </is>
      </c>
      <c r="F247" s="2" t="inlineStr">
        <is>
          <t>양떼목장</t>
        </is>
      </c>
      <c r="G247" s="2" t="inlineStr">
        <is>
          <t>양떼목장 이용권</t>
        </is>
      </c>
      <c r="H247" s="2" t="inlineStr">
        <is>
          <t>대소공통</t>
        </is>
      </c>
      <c r="I247" s="2" t="inlineStr">
        <is>
          <t>주중+주말</t>
        </is>
      </c>
      <c r="J247" s="2" t="inlineStr"/>
      <c r="K247" s="2" t="n">
        <v>6000</v>
      </c>
      <c r="L247" s="2" t="n">
        <v>5250</v>
      </c>
      <c r="M247" s="2" t="n">
        <v>13</v>
      </c>
      <c r="N247" s="2" t="n">
        <v>12.5</v>
      </c>
      <c r="O247" s="2" t="inlineStr">
        <is>
          <t>1</t>
        </is>
      </c>
      <c r="P247" s="2" t="inlineStr">
        <is>
          <t>구매일</t>
        </is>
      </c>
      <c r="Q247" s="2" t="inlineStr">
        <is>
          <t>0</t>
        </is>
      </c>
      <c r="R247" s="2" t="inlineStr">
        <is>
          <t>구매일</t>
        </is>
      </c>
      <c r="S247" s="2" t="inlineStr">
        <is>
          <t>30</t>
        </is>
      </c>
      <c r="T247" s="2" t="b">
        <v>1</v>
      </c>
    </row>
    <row r="248">
      <c r="A248" s="2" t="inlineStr">
        <is>
          <t>324008</t>
        </is>
      </c>
      <c r="B248" s="2" t="inlineStr">
        <is>
          <t>4122139</t>
        </is>
      </c>
      <c r="C248" s="2" t="inlineStr">
        <is>
          <t>테마파크</t>
        </is>
      </c>
      <c r="D248" s="2" t="inlineStr">
        <is>
          <t>테마파크</t>
        </is>
      </c>
      <c r="E248" s="2" t="inlineStr">
        <is>
          <t>남해</t>
        </is>
      </c>
      <c r="F248" s="2" t="inlineStr">
        <is>
          <t>양떼목장 양모리 학교</t>
        </is>
      </c>
      <c r="G248" s="2" t="inlineStr">
        <is>
          <t>대인 이용권 남해 양떼목장(~10/31)</t>
        </is>
      </c>
      <c r="H248" s="2" t="inlineStr">
        <is>
          <t>대인</t>
        </is>
      </c>
      <c r="I248" s="2" t="inlineStr">
        <is>
          <t>주중+주말</t>
        </is>
      </c>
      <c r="J248" s="2" t="inlineStr">
        <is>
          <t>종일</t>
        </is>
      </c>
      <c r="K248" s="2" t="n">
        <v>7000</v>
      </c>
      <c r="L248" s="2" t="n">
        <v>5650</v>
      </c>
      <c r="M248" s="2" t="n">
        <v>19</v>
      </c>
      <c r="N248" s="2" t="n">
        <v>19.3</v>
      </c>
      <c r="O248" s="2" t="inlineStr">
        <is>
          <t>1</t>
        </is>
      </c>
      <c r="P248" s="2" t="inlineStr">
        <is>
          <t>날짜지정</t>
        </is>
      </c>
      <c r="Q248" s="2" t="inlineStr">
        <is>
          <t>2026-05-08</t>
        </is>
      </c>
      <c r="R248" s="2" t="inlineStr">
        <is>
          <t>날짜지정</t>
        </is>
      </c>
      <c r="S248" s="2" t="inlineStr">
        <is>
          <t>2026-10-31</t>
        </is>
      </c>
      <c r="T248" s="2" t="b">
        <v>1</v>
      </c>
    </row>
    <row r="249">
      <c r="A249" s="2" t="inlineStr">
        <is>
          <t>324008</t>
        </is>
      </c>
      <c r="B249" s="2" t="inlineStr">
        <is>
          <t>4122140</t>
        </is>
      </c>
      <c r="C249" s="2" t="inlineStr">
        <is>
          <t>테마파크</t>
        </is>
      </c>
      <c r="D249" s="2" t="inlineStr">
        <is>
          <t>테마파크</t>
        </is>
      </c>
      <c r="E249" s="2" t="inlineStr">
        <is>
          <t>남해</t>
        </is>
      </c>
      <c r="F249" s="2" t="inlineStr">
        <is>
          <t>양떼목장 양모리 학교</t>
        </is>
      </c>
      <c r="G249" s="2" t="inlineStr">
        <is>
          <t>소인 이용권 남해 양떼목장(~10/31)</t>
        </is>
      </c>
      <c r="H249" s="2" t="inlineStr">
        <is>
          <t>소인</t>
        </is>
      </c>
      <c r="I249" s="2" t="inlineStr">
        <is>
          <t>주중+주말</t>
        </is>
      </c>
      <c r="J249" s="2" t="inlineStr">
        <is>
          <t>종일</t>
        </is>
      </c>
      <c r="K249" s="2" t="n">
        <v>4000</v>
      </c>
      <c r="L249" s="2" t="n">
        <v>3750</v>
      </c>
      <c r="M249" s="2" t="n">
        <v>6</v>
      </c>
      <c r="N249" s="2" t="n">
        <v>6.2</v>
      </c>
      <c r="O249" s="2" t="inlineStr">
        <is>
          <t>1</t>
        </is>
      </c>
      <c r="P249" s="2" t="inlineStr">
        <is>
          <t>날짜지정</t>
        </is>
      </c>
      <c r="Q249" s="2" t="inlineStr">
        <is>
          <t>2026-05-08</t>
        </is>
      </c>
      <c r="R249" s="2" t="inlineStr">
        <is>
          <t>날짜지정</t>
        </is>
      </c>
      <c r="S249" s="2" t="inlineStr">
        <is>
          <t>2026-10-31</t>
        </is>
      </c>
      <c r="T249" s="2" t="b">
        <v>0</v>
      </c>
    </row>
    <row r="250">
      <c r="A250" s="2" t="inlineStr">
        <is>
          <t>311809</t>
        </is>
      </c>
      <c r="B250" s="2" t="inlineStr">
        <is>
          <t>3803520</t>
        </is>
      </c>
      <c r="C250" s="2" t="inlineStr">
        <is>
          <t>테마파크</t>
        </is>
      </c>
      <c r="D250" s="2" t="inlineStr">
        <is>
          <t>테마파크</t>
        </is>
      </c>
      <c r="E250" s="2" t="inlineStr">
        <is>
          <t>파주</t>
        </is>
      </c>
      <c r="F250" s="2" t="inlineStr">
        <is>
          <t>헤이리 한국근현대사박물관</t>
        </is>
      </c>
      <c r="G250" s="2" t="inlineStr">
        <is>
          <t>대인입장권 한국근현대사박물관</t>
        </is>
      </c>
      <c r="H250" s="2" t="inlineStr">
        <is>
          <t>대인</t>
        </is>
      </c>
      <c r="I250" s="2" t="inlineStr">
        <is>
          <t>주중+주말</t>
        </is>
      </c>
      <c r="J250" s="2" t="inlineStr">
        <is>
          <t>종일</t>
        </is>
      </c>
      <c r="K250" s="2" t="n">
        <v>8000</v>
      </c>
      <c r="L250" s="2" t="n">
        <v>7000</v>
      </c>
      <c r="M250" s="2" t="n">
        <v>13</v>
      </c>
      <c r="N250" s="2" t="n">
        <v>12.5</v>
      </c>
      <c r="O250" s="2" t="inlineStr">
        <is>
          <t>1</t>
        </is>
      </c>
      <c r="P250" s="2" t="inlineStr">
        <is>
          <t>구매일</t>
        </is>
      </c>
      <c r="Q250" s="2" t="inlineStr">
        <is>
          <t>0</t>
        </is>
      </c>
      <c r="R250" s="2" t="inlineStr">
        <is>
          <t>구매일</t>
        </is>
      </c>
      <c r="S250" s="2" t="inlineStr">
        <is>
          <t>60</t>
        </is>
      </c>
      <c r="T250" s="2" t="b">
        <v>1</v>
      </c>
    </row>
    <row r="251">
      <c r="A251" s="2" t="inlineStr">
        <is>
          <t>311809</t>
        </is>
      </c>
      <c r="B251" s="2" t="inlineStr">
        <is>
          <t>3803521</t>
        </is>
      </c>
      <c r="C251" s="2" t="inlineStr">
        <is>
          <t>테마파크</t>
        </is>
      </c>
      <c r="D251" s="2" t="inlineStr">
        <is>
          <t>테마파크</t>
        </is>
      </c>
      <c r="E251" s="2" t="inlineStr">
        <is>
          <t>파주</t>
        </is>
      </c>
      <c r="F251" s="2" t="inlineStr">
        <is>
          <t>헤이리 한국근현대사박물관</t>
        </is>
      </c>
      <c r="G251" s="2" t="inlineStr">
        <is>
          <t>소인입장권 한국근현대사박물관</t>
        </is>
      </c>
      <c r="H251" s="2" t="inlineStr">
        <is>
          <t>소인</t>
        </is>
      </c>
      <c r="I251" s="2" t="inlineStr">
        <is>
          <t>주중+주말</t>
        </is>
      </c>
      <c r="J251" s="2" t="inlineStr">
        <is>
          <t>종일</t>
        </is>
      </c>
      <c r="K251" s="2" t="n">
        <v>6000</v>
      </c>
      <c r="L251" s="2" t="n">
        <v>5200</v>
      </c>
      <c r="M251" s="2" t="n">
        <v>13</v>
      </c>
      <c r="N251" s="2" t="n">
        <v>13.3</v>
      </c>
      <c r="O251" s="2" t="inlineStr">
        <is>
          <t>1</t>
        </is>
      </c>
      <c r="P251" s="2" t="inlineStr">
        <is>
          <t>구매일</t>
        </is>
      </c>
      <c r="Q251" s="2" t="inlineStr">
        <is>
          <t>0</t>
        </is>
      </c>
      <c r="R251" s="2" t="inlineStr">
        <is>
          <t>구매일</t>
        </is>
      </c>
      <c r="S251" s="2" t="inlineStr">
        <is>
          <t>60</t>
        </is>
      </c>
      <c r="T251" s="2" t="b">
        <v>0</v>
      </c>
    </row>
    <row r="252">
      <c r="A252" s="2" t="inlineStr">
        <is>
          <t>324071</t>
        </is>
      </c>
      <c r="B252" s="2" t="inlineStr">
        <is>
          <t>4122634</t>
        </is>
      </c>
      <c r="C252" s="2" t="inlineStr">
        <is>
          <t>테마파크</t>
        </is>
      </c>
      <c r="D252" s="2" t="inlineStr">
        <is>
          <t>테마파크</t>
        </is>
      </c>
      <c r="E252" s="2" t="inlineStr">
        <is>
          <t>파주</t>
        </is>
      </c>
      <c r="F252" s="2" t="inlineStr">
        <is>
          <t>헤이리 사파리체험테마파크</t>
        </is>
      </c>
      <c r="G252" s="2" t="inlineStr">
        <is>
          <t>1인 입장권(사파리+파충류+마술쇼+4D라이더)(~10/31)</t>
        </is>
      </c>
      <c r="H252" s="2" t="inlineStr">
        <is>
          <t>대소공통</t>
        </is>
      </c>
      <c r="I252" s="2" t="inlineStr">
        <is>
          <t>주중+주말</t>
        </is>
      </c>
      <c r="J252" s="2" t="inlineStr">
        <is>
          <t>종일</t>
        </is>
      </c>
      <c r="K252" s="2" t="n">
        <v>27000</v>
      </c>
      <c r="L252" s="2" t="n">
        <v>13000</v>
      </c>
      <c r="M252" s="2" t="n">
        <v>52</v>
      </c>
      <c r="N252" s="2" t="n">
        <v>51.9</v>
      </c>
      <c r="O252" s="2" t="inlineStr">
        <is>
          <t>1</t>
        </is>
      </c>
      <c r="P252" s="2" t="inlineStr">
        <is>
          <t>날짜지정</t>
        </is>
      </c>
      <c r="Q252" s="2" t="inlineStr">
        <is>
          <t>2026-05-01</t>
        </is>
      </c>
      <c r="R252" s="2" t="inlineStr">
        <is>
          <t>날짜지정</t>
        </is>
      </c>
      <c r="S252" s="2" t="inlineStr">
        <is>
          <t>2026-10-31</t>
        </is>
      </c>
      <c r="T252" s="2" t="b">
        <v>1</v>
      </c>
    </row>
    <row r="253">
      <c r="A253" s="2" t="inlineStr">
        <is>
          <t>324071</t>
        </is>
      </c>
      <c r="B253" s="2" t="inlineStr">
        <is>
          <t>4122636</t>
        </is>
      </c>
      <c r="C253" s="2" t="inlineStr">
        <is>
          <t>테마파크</t>
        </is>
      </c>
      <c r="D253" s="2" t="inlineStr">
        <is>
          <t>테마파크</t>
        </is>
      </c>
      <c r="E253" s="2" t="inlineStr">
        <is>
          <t>파주</t>
        </is>
      </c>
      <c r="F253" s="2" t="inlineStr">
        <is>
          <t>헤이리 사파리체험테마파크</t>
        </is>
      </c>
      <c r="G253" s="2" t="inlineStr">
        <is>
          <t>1인 입장권+버블쇼(~10/31)</t>
        </is>
      </c>
      <c r="H253" s="2" t="inlineStr">
        <is>
          <t>대소공통</t>
        </is>
      </c>
      <c r="I253" s="2" t="inlineStr">
        <is>
          <t>주중+주말</t>
        </is>
      </c>
      <c r="J253" s="2" t="inlineStr">
        <is>
          <t>종일</t>
        </is>
      </c>
      <c r="K253" s="2" t="n">
        <v>37000</v>
      </c>
      <c r="L253" s="2" t="n">
        <v>18000</v>
      </c>
      <c r="M253" s="2" t="n">
        <v>51</v>
      </c>
      <c r="N253" s="2" t="n">
        <v>51.4</v>
      </c>
      <c r="O253" s="2" t="inlineStr">
        <is>
          <t>1</t>
        </is>
      </c>
      <c r="P253" s="2" t="inlineStr">
        <is>
          <t>날짜지정</t>
        </is>
      </c>
      <c r="Q253" s="2" t="inlineStr">
        <is>
          <t>2026-05-01</t>
        </is>
      </c>
      <c r="R253" s="2" t="inlineStr">
        <is>
          <t>날짜지정</t>
        </is>
      </c>
      <c r="S253" s="2" t="inlineStr">
        <is>
          <t>2026-10-31</t>
        </is>
      </c>
      <c r="T253" s="2" t="b">
        <v>0</v>
      </c>
    </row>
    <row r="254">
      <c r="A254" s="2" t="inlineStr">
        <is>
          <t>324071</t>
        </is>
      </c>
      <c r="B254" s="2" t="inlineStr">
        <is>
          <t>4122635</t>
        </is>
      </c>
      <c r="C254" s="2" t="inlineStr">
        <is>
          <t>테마파크</t>
        </is>
      </c>
      <c r="D254" s="2" t="inlineStr">
        <is>
          <t>테마파크</t>
        </is>
      </c>
      <c r="E254" s="2" t="inlineStr">
        <is>
          <t>파주</t>
        </is>
      </c>
      <c r="F254" s="2" t="inlineStr">
        <is>
          <t>헤이리 사파리체험테마파크</t>
        </is>
      </c>
      <c r="G254" s="2" t="inlineStr">
        <is>
          <t>1인 입장권+카페 이용권(~10/31)</t>
        </is>
      </c>
      <c r="H254" s="2" t="inlineStr">
        <is>
          <t>대소공통</t>
        </is>
      </c>
      <c r="I254" s="2" t="inlineStr">
        <is>
          <t>주중+주말</t>
        </is>
      </c>
      <c r="J254" s="2" t="inlineStr">
        <is>
          <t>종일</t>
        </is>
      </c>
      <c r="K254" s="2" t="n">
        <v>32000</v>
      </c>
      <c r="L254" s="2" t="n">
        <v>17000</v>
      </c>
      <c r="M254" s="2" t="n">
        <v>47</v>
      </c>
      <c r="N254" s="2" t="n">
        <v>46.9</v>
      </c>
      <c r="O254" s="2" t="inlineStr">
        <is>
          <t>1</t>
        </is>
      </c>
      <c r="P254" s="2" t="inlineStr">
        <is>
          <t>날짜지정</t>
        </is>
      </c>
      <c r="Q254" s="2" t="inlineStr">
        <is>
          <t>2026-05-01</t>
        </is>
      </c>
      <c r="R254" s="2" t="inlineStr">
        <is>
          <t>날짜지정</t>
        </is>
      </c>
      <c r="S254" s="2" t="inlineStr">
        <is>
          <t>2026-10-31</t>
        </is>
      </c>
      <c r="T254" s="2" t="b">
        <v>0</v>
      </c>
    </row>
    <row r="255">
      <c r="A255" s="2" t="inlineStr">
        <is>
          <t>293638</t>
        </is>
      </c>
      <c r="B255" s="2" t="inlineStr">
        <is>
          <t>3440762</t>
        </is>
      </c>
      <c r="C255" s="2" t="inlineStr">
        <is>
          <t>테마파크</t>
        </is>
      </c>
      <c r="D255" s="2" t="inlineStr">
        <is>
          <t>테마파크</t>
        </is>
      </c>
      <c r="E255" s="2" t="inlineStr">
        <is>
          <t>고양</t>
        </is>
      </c>
      <c r="F255" s="2" t="inlineStr">
        <is>
          <t>원더빌리지</t>
        </is>
      </c>
      <c r="G255" s="2" t="inlineStr">
        <is>
          <t>대인입장권(중학생이상) 원더빌리지</t>
        </is>
      </c>
      <c r="H255" s="2" t="inlineStr">
        <is>
          <t>대인</t>
        </is>
      </c>
      <c r="I255" s="2" t="inlineStr">
        <is>
          <t>주중+주말</t>
        </is>
      </c>
      <c r="J255" s="2" t="inlineStr">
        <is>
          <t>종일</t>
        </is>
      </c>
      <c r="K255" s="2" t="n">
        <v>12000</v>
      </c>
      <c r="L255" s="2" t="n">
        <v>8500</v>
      </c>
      <c r="M255" s="2" t="n">
        <v>29</v>
      </c>
      <c r="N255" s="2" t="n">
        <v>29.2</v>
      </c>
      <c r="O255" s="2" t="inlineStr">
        <is>
          <t>1</t>
        </is>
      </c>
      <c r="P255" s="2" t="inlineStr">
        <is>
          <t>구매일</t>
        </is>
      </c>
      <c r="Q255" s="2" t="inlineStr">
        <is>
          <t>0</t>
        </is>
      </c>
      <c r="R255" s="2" t="inlineStr">
        <is>
          <t>구매일</t>
        </is>
      </c>
      <c r="S255" s="2" t="inlineStr">
        <is>
          <t>60</t>
        </is>
      </c>
      <c r="T255" s="2" t="b">
        <v>1</v>
      </c>
    </row>
    <row r="256">
      <c r="A256" s="2" t="inlineStr">
        <is>
          <t>293638</t>
        </is>
      </c>
      <c r="B256" s="2" t="inlineStr">
        <is>
          <t>3440763</t>
        </is>
      </c>
      <c r="C256" s="2" t="inlineStr">
        <is>
          <t>테마파크</t>
        </is>
      </c>
      <c r="D256" s="2" t="inlineStr">
        <is>
          <t>테마파크</t>
        </is>
      </c>
      <c r="E256" s="2" t="inlineStr">
        <is>
          <t>고양</t>
        </is>
      </c>
      <c r="F256" s="2" t="inlineStr">
        <is>
          <t>원더빌리지</t>
        </is>
      </c>
      <c r="G256" s="2" t="inlineStr">
        <is>
          <t>소인입장권(24개월~초등학생) 원더빌리지</t>
        </is>
      </c>
      <c r="H256" s="2" t="inlineStr">
        <is>
          <t>소인</t>
        </is>
      </c>
      <c r="I256" s="2" t="inlineStr">
        <is>
          <t>주중+주말</t>
        </is>
      </c>
      <c r="J256" s="2" t="inlineStr">
        <is>
          <t>종일</t>
        </is>
      </c>
      <c r="K256" s="2" t="n">
        <v>19000</v>
      </c>
      <c r="L256" s="2" t="n">
        <v>13500</v>
      </c>
      <c r="M256" s="2" t="n">
        <v>29</v>
      </c>
      <c r="N256" s="2" t="n">
        <v>28.9</v>
      </c>
      <c r="O256" s="2" t="inlineStr">
        <is>
          <t>1</t>
        </is>
      </c>
      <c r="P256" s="2" t="inlineStr">
        <is>
          <t>구매일</t>
        </is>
      </c>
      <c r="Q256" s="2" t="inlineStr">
        <is>
          <t>0</t>
        </is>
      </c>
      <c r="R256" s="2" t="inlineStr">
        <is>
          <t>구매일</t>
        </is>
      </c>
      <c r="S256" s="2" t="inlineStr">
        <is>
          <t>60</t>
        </is>
      </c>
      <c r="T256" s="2" t="b">
        <v>0</v>
      </c>
    </row>
    <row r="257">
      <c r="A257" s="2" t="inlineStr">
        <is>
          <t>276039</t>
        </is>
      </c>
      <c r="B257" s="2" t="inlineStr">
        <is>
          <t>3047385</t>
        </is>
      </c>
      <c r="C257" s="2" t="inlineStr">
        <is>
          <t>테마파크</t>
        </is>
      </c>
      <c r="D257" s="2" t="inlineStr">
        <is>
          <t>테마파크</t>
        </is>
      </c>
      <c r="E257" s="2" t="inlineStr">
        <is>
          <t>가평</t>
        </is>
      </c>
      <c r="F257" s="2" t="inlineStr">
        <is>
          <t>쁘띠프랑스&amp;이탈리아마을</t>
        </is>
      </c>
      <c r="G257" s="2" t="inlineStr">
        <is>
          <t>대인이용권 쁘띠프랑스&amp;이탈리아마을 PKG</t>
        </is>
      </c>
      <c r="H257" s="2" t="inlineStr">
        <is>
          <t>대인</t>
        </is>
      </c>
      <c r="I257" s="2" t="inlineStr">
        <is>
          <t>주중+주말</t>
        </is>
      </c>
      <c r="J257" s="2" t="inlineStr">
        <is>
          <t>종일</t>
        </is>
      </c>
      <c r="K257" s="2" t="n">
        <v>28000</v>
      </c>
      <c r="L257" s="2" t="n">
        <v>16500</v>
      </c>
      <c r="M257" s="2" t="n">
        <v>41</v>
      </c>
      <c r="N257" s="2" t="n">
        <v>41.1</v>
      </c>
      <c r="O257" s="2" t="inlineStr">
        <is>
          <t>1</t>
        </is>
      </c>
      <c r="P257" s="2" t="inlineStr">
        <is>
          <t>구매일</t>
        </is>
      </c>
      <c r="Q257" s="2" t="inlineStr">
        <is>
          <t>0</t>
        </is>
      </c>
      <c r="R257" s="2" t="inlineStr">
        <is>
          <t>구매일</t>
        </is>
      </c>
      <c r="S257" s="2" t="inlineStr">
        <is>
          <t>60</t>
        </is>
      </c>
      <c r="T257" s="2" t="b">
        <v>1</v>
      </c>
    </row>
    <row r="258">
      <c r="A258" s="2" t="inlineStr">
        <is>
          <t>276039</t>
        </is>
      </c>
      <c r="B258" s="2" t="inlineStr">
        <is>
          <t>3047387</t>
        </is>
      </c>
      <c r="C258" s="2" t="inlineStr">
        <is>
          <t>테마파크</t>
        </is>
      </c>
      <c r="D258" s="2" t="inlineStr">
        <is>
          <t>테마파크</t>
        </is>
      </c>
      <c r="E258" s="2" t="inlineStr">
        <is>
          <t>가평</t>
        </is>
      </c>
      <c r="F258" s="2" t="inlineStr">
        <is>
          <t>쁘띠프랑스&amp;이탈리아마을</t>
        </is>
      </c>
      <c r="G258" s="2" t="inlineStr">
        <is>
          <t>소인이용권 쁘띠프랑스&amp;이탈리아마을 PKG</t>
        </is>
      </c>
      <c r="H258" s="2" t="inlineStr">
        <is>
          <t>소인</t>
        </is>
      </c>
      <c r="I258" s="2" t="inlineStr">
        <is>
          <t>주중+주말</t>
        </is>
      </c>
      <c r="J258" s="2" t="inlineStr">
        <is>
          <t>종일</t>
        </is>
      </c>
      <c r="K258" s="2" t="n">
        <v>22000</v>
      </c>
      <c r="L258" s="2" t="n">
        <v>14300</v>
      </c>
      <c r="M258" s="2" t="n">
        <v>35</v>
      </c>
      <c r="N258" s="2" t="n">
        <v>35</v>
      </c>
      <c r="O258" s="2" t="inlineStr">
        <is>
          <t>1</t>
        </is>
      </c>
      <c r="P258" s="2" t="inlineStr">
        <is>
          <t>구매일</t>
        </is>
      </c>
      <c r="Q258" s="2" t="inlineStr">
        <is>
          <t>0</t>
        </is>
      </c>
      <c r="R258" s="2" t="inlineStr">
        <is>
          <t>구매일</t>
        </is>
      </c>
      <c r="S258" s="2" t="inlineStr">
        <is>
          <t>60</t>
        </is>
      </c>
      <c r="T258" s="2" t="b">
        <v>0</v>
      </c>
    </row>
    <row r="259">
      <c r="A259" s="2" t="inlineStr">
        <is>
          <t>234301</t>
        </is>
      </c>
      <c r="B259" s="2" t="inlineStr">
        <is>
          <t>2133015</t>
        </is>
      </c>
      <c r="C259" s="2" t="inlineStr">
        <is>
          <t>테마파크</t>
        </is>
      </c>
      <c r="D259" s="2" t="inlineStr">
        <is>
          <t>테마파크</t>
        </is>
      </c>
      <c r="E259" s="2" t="inlineStr">
        <is>
          <t>양평</t>
        </is>
      </c>
      <c r="F259" s="2" t="inlineStr">
        <is>
          <t>풀향기허브나라&amp;토이박물관</t>
        </is>
      </c>
      <c r="G259" s="2" t="inlineStr">
        <is>
          <t>풀향기허브나라&amp;토이박물관 대인이용권</t>
        </is>
      </c>
      <c r="H259" s="2" t="inlineStr">
        <is>
          <t>대인</t>
        </is>
      </c>
      <c r="I259" s="2" t="inlineStr">
        <is>
          <t>주중+주말</t>
        </is>
      </c>
      <c r="J259" s="2" t="inlineStr">
        <is>
          <t>종일</t>
        </is>
      </c>
      <c r="K259" s="2" t="n">
        <v>6000</v>
      </c>
      <c r="L259" s="2" t="n">
        <v>5000</v>
      </c>
      <c r="M259" s="2" t="n">
        <v>17</v>
      </c>
      <c r="N259" s="2" t="n">
        <v>16.7</v>
      </c>
      <c r="O259" s="2" t="inlineStr">
        <is>
          <t>1</t>
        </is>
      </c>
      <c r="P259" s="2" t="inlineStr">
        <is>
          <t>구매일</t>
        </is>
      </c>
      <c r="Q259" s="2" t="inlineStr">
        <is>
          <t>0</t>
        </is>
      </c>
      <c r="R259" s="2" t="inlineStr">
        <is>
          <t>구매일</t>
        </is>
      </c>
      <c r="S259" s="2" t="inlineStr">
        <is>
          <t>30</t>
        </is>
      </c>
      <c r="T259" s="2" t="b">
        <v>1</v>
      </c>
    </row>
    <row r="260">
      <c r="A260" s="2" t="inlineStr">
        <is>
          <t>234301</t>
        </is>
      </c>
      <c r="B260" s="2" t="inlineStr">
        <is>
          <t>2133016</t>
        </is>
      </c>
      <c r="C260" s="2" t="inlineStr">
        <is>
          <t>테마파크</t>
        </is>
      </c>
      <c r="D260" s="2" t="inlineStr">
        <is>
          <t>테마파크</t>
        </is>
      </c>
      <c r="E260" s="2" t="inlineStr">
        <is>
          <t>양평</t>
        </is>
      </c>
      <c r="F260" s="2" t="inlineStr">
        <is>
          <t>풀향기허브나라&amp;토이박물관</t>
        </is>
      </c>
      <c r="G260" s="2" t="inlineStr">
        <is>
          <t>풀향기허브나라&amp;토이박물관 소인이용권</t>
        </is>
      </c>
      <c r="H260" s="2" t="inlineStr">
        <is>
          <t>소인</t>
        </is>
      </c>
      <c r="I260" s="2" t="inlineStr">
        <is>
          <t>주중+주말</t>
        </is>
      </c>
      <c r="J260" s="2" t="inlineStr">
        <is>
          <t>종일</t>
        </is>
      </c>
      <c r="K260" s="2" t="n">
        <v>4000</v>
      </c>
      <c r="L260" s="2" t="n">
        <v>3500</v>
      </c>
      <c r="M260" s="2" t="n">
        <v>13</v>
      </c>
      <c r="N260" s="2" t="n">
        <v>12.5</v>
      </c>
      <c r="O260" s="2" t="inlineStr">
        <is>
          <t>1</t>
        </is>
      </c>
      <c r="P260" s="2" t="inlineStr">
        <is>
          <t>구매일</t>
        </is>
      </c>
      <c r="Q260" s="2" t="inlineStr">
        <is>
          <t>0</t>
        </is>
      </c>
      <c r="R260" s="2" t="inlineStr">
        <is>
          <t>구매일</t>
        </is>
      </c>
      <c r="S260" s="2" t="inlineStr">
        <is>
          <t>30</t>
        </is>
      </c>
      <c r="T260" s="2" t="b">
        <v>0</v>
      </c>
    </row>
    <row r="261">
      <c r="A261" s="2" t="inlineStr">
        <is>
          <t>324701</t>
        </is>
      </c>
      <c r="B261" s="2" t="inlineStr">
        <is>
          <t>4142660</t>
        </is>
      </c>
      <c r="C261" s="2" t="inlineStr">
        <is>
          <t>레져</t>
        </is>
      </c>
      <c r="D261" s="2" t="inlineStr">
        <is>
          <t>크루즈</t>
        </is>
      </c>
      <c r="E261" s="2" t="inlineStr">
        <is>
          <t>여의도</t>
        </is>
      </c>
      <c r="F261" s="2" t="inlineStr">
        <is>
          <t>달빛뮤직/불꽃뮤직/별빛 크루즈</t>
        </is>
      </c>
      <c r="G261" s="2" t="inlineStr">
        <is>
          <t>[여의도] 달빛뮤직 크루즈 대인이용권(~10/31)</t>
        </is>
      </c>
      <c r="H261" s="2" t="inlineStr">
        <is>
          <t>대인</t>
        </is>
      </c>
      <c r="I261" s="2" t="inlineStr">
        <is>
          <t>주중+주말</t>
        </is>
      </c>
      <c r="J261" s="2" t="inlineStr"/>
      <c r="K261" s="2" t="n">
        <v>32900</v>
      </c>
      <c r="L261" s="2" t="n">
        <v>29900</v>
      </c>
      <c r="M261" s="2" t="n">
        <v>9</v>
      </c>
      <c r="N261" s="2" t="n">
        <v>9.1</v>
      </c>
      <c r="O261" s="2" t="inlineStr">
        <is>
          <t>1</t>
        </is>
      </c>
      <c r="P261" s="2" t="inlineStr">
        <is>
          <t>날짜지정</t>
        </is>
      </c>
      <c r="Q261" s="2" t="inlineStr">
        <is>
          <t>2026-06-01</t>
        </is>
      </c>
      <c r="R261" s="2" t="inlineStr">
        <is>
          <t>날짜지정</t>
        </is>
      </c>
      <c r="S261" s="2" t="inlineStr">
        <is>
          <t>2026-10-31</t>
        </is>
      </c>
      <c r="T261" s="2" t="b">
        <v>1</v>
      </c>
    </row>
    <row r="262">
      <c r="A262" s="2" t="inlineStr">
        <is>
          <t>324701</t>
        </is>
      </c>
      <c r="B262" s="2" t="inlineStr">
        <is>
          <t>4142662</t>
        </is>
      </c>
      <c r="C262" s="2" t="inlineStr">
        <is>
          <t>레져</t>
        </is>
      </c>
      <c r="D262" s="2" t="inlineStr">
        <is>
          <t>크루즈</t>
        </is>
      </c>
      <c r="E262" s="2" t="inlineStr">
        <is>
          <t>여의도</t>
        </is>
      </c>
      <c r="F262" s="2" t="inlineStr">
        <is>
          <t>달빛뮤직/불꽃뮤직/별빛 크루즈</t>
        </is>
      </c>
      <c r="G262" s="2" t="inlineStr">
        <is>
          <t>[여의도] 달빛뮤직 크루즈 소인이용권(~10/31)</t>
        </is>
      </c>
      <c r="H262" s="2" t="inlineStr">
        <is>
          <t>소인</t>
        </is>
      </c>
      <c r="I262" s="2" t="inlineStr">
        <is>
          <t>주중+주말</t>
        </is>
      </c>
      <c r="J262" s="2" t="inlineStr"/>
      <c r="K262" s="2" t="n">
        <v>22900</v>
      </c>
      <c r="L262" s="2" t="n">
        <v>20900</v>
      </c>
      <c r="M262" s="2" t="n">
        <v>9</v>
      </c>
      <c r="N262" s="2" t="n">
        <v>8.699999999999999</v>
      </c>
      <c r="O262" s="2" t="inlineStr">
        <is>
          <t>1</t>
        </is>
      </c>
      <c r="P262" s="2" t="inlineStr">
        <is>
          <t>날짜지정</t>
        </is>
      </c>
      <c r="Q262" s="2" t="inlineStr">
        <is>
          <t>2026-06-01</t>
        </is>
      </c>
      <c r="R262" s="2" t="inlineStr">
        <is>
          <t>날짜지정</t>
        </is>
      </c>
      <c r="S262" s="2" t="inlineStr">
        <is>
          <t>2026-10-31</t>
        </is>
      </c>
      <c r="T262" s="2" t="b">
        <v>0</v>
      </c>
    </row>
    <row r="263">
      <c r="A263" s="2" t="inlineStr">
        <is>
          <t>324701</t>
        </is>
      </c>
      <c r="B263" s="2" t="inlineStr">
        <is>
          <t>4142667</t>
        </is>
      </c>
      <c r="C263" s="2" t="inlineStr">
        <is>
          <t>레져</t>
        </is>
      </c>
      <c r="D263" s="2" t="inlineStr">
        <is>
          <t>크루즈</t>
        </is>
      </c>
      <c r="E263" s="2" t="inlineStr">
        <is>
          <t>여의도</t>
        </is>
      </c>
      <c r="F263" s="2" t="inlineStr">
        <is>
          <t>달빛뮤직/불꽃뮤직/별빛 크루즈</t>
        </is>
      </c>
      <c r="G263" s="2" t="inlineStr">
        <is>
          <t>[여의도] 불꽃뮤직 크루즈 대인이용권(9/11~10/30)</t>
        </is>
      </c>
      <c r="H263" s="2" t="inlineStr">
        <is>
          <t>대인</t>
        </is>
      </c>
      <c r="I263" s="2" t="inlineStr">
        <is>
          <t>주중+주말</t>
        </is>
      </c>
      <c r="J263" s="2" t="inlineStr"/>
      <c r="K263" s="2" t="n">
        <v>47900</v>
      </c>
      <c r="L263" s="2" t="n">
        <v>44900</v>
      </c>
      <c r="M263" s="2" t="n">
        <v>6</v>
      </c>
      <c r="N263" s="2" t="n">
        <v>6.3</v>
      </c>
      <c r="O263" s="2" t="inlineStr">
        <is>
          <t>1</t>
        </is>
      </c>
      <c r="P263" s="2" t="inlineStr">
        <is>
          <t>날짜지정</t>
        </is>
      </c>
      <c r="Q263" s="2" t="inlineStr">
        <is>
          <t>2026-09-11</t>
        </is>
      </c>
      <c r="R263" s="2" t="inlineStr">
        <is>
          <t>날짜지정</t>
        </is>
      </c>
      <c r="S263" s="2" t="inlineStr">
        <is>
          <t>2026-10-30</t>
        </is>
      </c>
      <c r="T263" s="2" t="b">
        <v>0</v>
      </c>
    </row>
    <row r="264">
      <c r="A264" s="2" t="inlineStr">
        <is>
          <t>324701</t>
        </is>
      </c>
      <c r="B264" s="2" t="inlineStr">
        <is>
          <t>4142669</t>
        </is>
      </c>
      <c r="C264" s="2" t="inlineStr">
        <is>
          <t>레져</t>
        </is>
      </c>
      <c r="D264" s="2" t="inlineStr">
        <is>
          <t>크루즈</t>
        </is>
      </c>
      <c r="E264" s="2" t="inlineStr">
        <is>
          <t>여의도</t>
        </is>
      </c>
      <c r="F264" s="2" t="inlineStr">
        <is>
          <t>달빛뮤직/불꽃뮤직/별빛 크루즈</t>
        </is>
      </c>
      <c r="G264" s="2" t="inlineStr">
        <is>
          <t>[여의도] 불꽃뮤직 크루즈 소인이용권(9/11~10/30)</t>
        </is>
      </c>
      <c r="H264" s="2" t="inlineStr">
        <is>
          <t>대인</t>
        </is>
      </c>
      <c r="I264" s="2" t="inlineStr">
        <is>
          <t>주중+주말</t>
        </is>
      </c>
      <c r="J264" s="2" t="inlineStr"/>
      <c r="K264" s="2" t="n">
        <v>32900</v>
      </c>
      <c r="L264" s="2" t="n">
        <v>29900</v>
      </c>
      <c r="M264" s="2" t="n">
        <v>9</v>
      </c>
      <c r="N264" s="2" t="n">
        <v>9.1</v>
      </c>
      <c r="O264" s="2" t="inlineStr">
        <is>
          <t>1</t>
        </is>
      </c>
      <c r="P264" s="2" t="inlineStr">
        <is>
          <t>날짜지정</t>
        </is>
      </c>
      <c r="Q264" s="2" t="inlineStr">
        <is>
          <t>2026-09-11</t>
        </is>
      </c>
      <c r="R264" s="2" t="inlineStr">
        <is>
          <t>날짜지정</t>
        </is>
      </c>
      <c r="S264" s="2" t="inlineStr">
        <is>
          <t>2026-10-30</t>
        </is>
      </c>
      <c r="T264" s="2" t="b">
        <v>0</v>
      </c>
    </row>
    <row r="265">
      <c r="A265" s="2" t="inlineStr">
        <is>
          <t>324701</t>
        </is>
      </c>
      <c r="B265" s="2" t="inlineStr">
        <is>
          <t>4142664</t>
        </is>
      </c>
      <c r="C265" s="2" t="inlineStr">
        <is>
          <t>레져</t>
        </is>
      </c>
      <c r="D265" s="2" t="inlineStr">
        <is>
          <t>크루즈</t>
        </is>
      </c>
      <c r="E265" s="2" t="inlineStr">
        <is>
          <t>여의도</t>
        </is>
      </c>
      <c r="F265" s="2" t="inlineStr">
        <is>
          <t>달빛뮤직/불꽃뮤직/별빛 크루즈</t>
        </is>
      </c>
      <c r="G265" s="2" t="inlineStr">
        <is>
          <t>[여의도] 별빛 크루즈 대인이용권(~10/31)</t>
        </is>
      </c>
      <c r="H265" s="2" t="inlineStr">
        <is>
          <t>대인</t>
        </is>
      </c>
      <c r="I265" s="2" t="inlineStr">
        <is>
          <t>주중+주말</t>
        </is>
      </c>
      <c r="J265" s="2" t="inlineStr"/>
      <c r="K265" s="2" t="n">
        <v>25900</v>
      </c>
      <c r="L265" s="2" t="n">
        <v>21900</v>
      </c>
      <c r="M265" s="2" t="n">
        <v>15</v>
      </c>
      <c r="N265" s="2" t="n">
        <v>15.4</v>
      </c>
      <c r="O265" s="2" t="inlineStr">
        <is>
          <t>1</t>
        </is>
      </c>
      <c r="P265" s="2" t="inlineStr">
        <is>
          <t>날짜지정</t>
        </is>
      </c>
      <c r="Q265" s="2" t="inlineStr">
        <is>
          <t>2026-06-01</t>
        </is>
      </c>
      <c r="R265" s="2" t="inlineStr">
        <is>
          <t>날짜지정</t>
        </is>
      </c>
      <c r="S265" s="2" t="inlineStr">
        <is>
          <t>2026-10-31</t>
        </is>
      </c>
      <c r="T265" s="2" t="b">
        <v>0</v>
      </c>
    </row>
    <row r="266">
      <c r="A266" s="2" t="inlineStr">
        <is>
          <t>324701</t>
        </is>
      </c>
      <c r="B266" s="2" t="inlineStr">
        <is>
          <t>4142665</t>
        </is>
      </c>
      <c r="C266" s="2" t="inlineStr">
        <is>
          <t>레져</t>
        </is>
      </c>
      <c r="D266" s="2" t="inlineStr">
        <is>
          <t>크루즈</t>
        </is>
      </c>
      <c r="E266" s="2" t="inlineStr">
        <is>
          <t>여의도</t>
        </is>
      </c>
      <c r="F266" s="2" t="inlineStr">
        <is>
          <t>달빛뮤직/불꽃뮤직/별빛 크루즈</t>
        </is>
      </c>
      <c r="G266" s="2" t="inlineStr">
        <is>
          <t>[여의도] 별빛 크루즈 소인이용권(~10/31)</t>
        </is>
      </c>
      <c r="H266" s="2" t="inlineStr">
        <is>
          <t>소인</t>
        </is>
      </c>
      <c r="I266" s="2" t="inlineStr">
        <is>
          <t>주중+주말</t>
        </is>
      </c>
      <c r="J266" s="2" t="inlineStr"/>
      <c r="K266" s="2" t="n">
        <v>17900</v>
      </c>
      <c r="L266" s="2" t="n">
        <v>15900</v>
      </c>
      <c r="M266" s="2" t="n">
        <v>11</v>
      </c>
      <c r="N266" s="2" t="n">
        <v>11.2</v>
      </c>
      <c r="O266" s="2" t="inlineStr">
        <is>
          <t>1</t>
        </is>
      </c>
      <c r="P266" s="2" t="inlineStr">
        <is>
          <t>날짜지정</t>
        </is>
      </c>
      <c r="Q266" s="2" t="inlineStr">
        <is>
          <t>2026-06-01</t>
        </is>
      </c>
      <c r="R266" s="2" t="inlineStr">
        <is>
          <t>날짜지정</t>
        </is>
      </c>
      <c r="S266" s="2" t="inlineStr">
        <is>
          <t>2026-10-31</t>
        </is>
      </c>
      <c r="T266" s="2" t="b">
        <v>0</v>
      </c>
    </row>
    <row r="267">
      <c r="A267" s="2" t="inlineStr">
        <is>
          <t>324638</t>
        </is>
      </c>
      <c r="B267" s="2" t="inlineStr">
        <is>
          <t>4139395</t>
        </is>
      </c>
      <c r="C267" s="2" t="inlineStr">
        <is>
          <t>레져</t>
        </is>
      </c>
      <c r="D267" s="2" t="inlineStr">
        <is>
          <t>크루즈</t>
        </is>
      </c>
      <c r="E267" s="2" t="inlineStr">
        <is>
          <t>여의도</t>
        </is>
      </c>
      <c r="F267" s="2" t="inlineStr">
        <is>
          <t>선셋 크루즈</t>
        </is>
      </c>
      <c r="G267" s="2" t="inlineStr">
        <is>
          <t>[여의도] 선셋 크루즈 대인이용권(~10/31)</t>
        </is>
      </c>
      <c r="H267" s="2" t="inlineStr">
        <is>
          <t>대인</t>
        </is>
      </c>
      <c r="I267" s="2" t="inlineStr">
        <is>
          <t>주중+주말</t>
        </is>
      </c>
      <c r="J267" s="2" t="inlineStr"/>
      <c r="K267" s="2" t="n">
        <v>25900</v>
      </c>
      <c r="L267" s="2" t="n">
        <v>22900</v>
      </c>
      <c r="M267" s="2" t="n">
        <v>12</v>
      </c>
      <c r="N267" s="2" t="n">
        <v>11.6</v>
      </c>
      <c r="O267" s="2" t="inlineStr">
        <is>
          <t>1</t>
        </is>
      </c>
      <c r="P267" s="2" t="inlineStr">
        <is>
          <t>날짜지정</t>
        </is>
      </c>
      <c r="Q267" s="2" t="inlineStr">
        <is>
          <t>2026-09-01</t>
        </is>
      </c>
      <c r="R267" s="2" t="inlineStr">
        <is>
          <t>날짜지정</t>
        </is>
      </c>
      <c r="S267" s="2" t="inlineStr">
        <is>
          <t>2026-10-31</t>
        </is>
      </c>
      <c r="T267" s="2" t="b">
        <v>1</v>
      </c>
    </row>
    <row r="268">
      <c r="A268" s="2" t="inlineStr">
        <is>
          <t>324638</t>
        </is>
      </c>
      <c r="B268" s="2" t="inlineStr">
        <is>
          <t>4139396</t>
        </is>
      </c>
      <c r="C268" s="2" t="inlineStr">
        <is>
          <t>레져</t>
        </is>
      </c>
      <c r="D268" s="2" t="inlineStr">
        <is>
          <t>크루즈</t>
        </is>
      </c>
      <c r="E268" s="2" t="inlineStr">
        <is>
          <t>여의도</t>
        </is>
      </c>
      <c r="F268" s="2" t="inlineStr">
        <is>
          <t>선셋 크루즈</t>
        </is>
      </c>
      <c r="G268" s="2" t="inlineStr">
        <is>
          <t>[여의도] 선셋 크루즈 소인이용권(~10/31)</t>
        </is>
      </c>
      <c r="H268" s="2" t="inlineStr">
        <is>
          <t>소인</t>
        </is>
      </c>
      <c r="I268" s="2" t="inlineStr">
        <is>
          <t>주중+주말</t>
        </is>
      </c>
      <c r="J268" s="2" t="inlineStr"/>
      <c r="K268" s="2" t="n">
        <v>17900</v>
      </c>
      <c r="L268" s="2" t="n">
        <v>15900</v>
      </c>
      <c r="M268" s="2" t="n">
        <v>11</v>
      </c>
      <c r="N268" s="2" t="n">
        <v>11.2</v>
      </c>
      <c r="O268" s="2" t="inlineStr">
        <is>
          <t>1</t>
        </is>
      </c>
      <c r="P268" s="2" t="inlineStr">
        <is>
          <t>날짜지정</t>
        </is>
      </c>
      <c r="Q268" s="2" t="inlineStr">
        <is>
          <t>2026-09-01</t>
        </is>
      </c>
      <c r="R268" s="2" t="inlineStr">
        <is>
          <t>날짜지정</t>
        </is>
      </c>
      <c r="S268" s="2" t="inlineStr">
        <is>
          <t>2026-10-31</t>
        </is>
      </c>
      <c r="T268" s="2" t="b">
        <v>0</v>
      </c>
    </row>
    <row r="269">
      <c r="A269" s="2" t="inlineStr">
        <is>
          <t>328040</t>
        </is>
      </c>
      <c r="B269" s="2" t="inlineStr">
        <is>
          <t>4232799</t>
        </is>
      </c>
      <c r="C269" s="2" t="inlineStr">
        <is>
          <t>레져</t>
        </is>
      </c>
      <c r="D269" s="2" t="inlineStr">
        <is>
          <t>크루즈</t>
        </is>
      </c>
      <c r="E269" s="2" t="inlineStr">
        <is>
          <t>여의도</t>
        </is>
      </c>
      <c r="F269" s="2" t="inlineStr">
        <is>
          <t>한강투어 크루즈</t>
        </is>
      </c>
      <c r="G269" s="2" t="inlineStr">
        <is>
          <t>[여의도] 한강투어 크루즈 소인이용권(~10/31)</t>
        </is>
      </c>
      <c r="H269" s="2" t="inlineStr">
        <is>
          <t>소인</t>
        </is>
      </c>
      <c r="I269" s="2" t="inlineStr">
        <is>
          <t>주중+주말</t>
        </is>
      </c>
      <c r="J269" s="2" t="inlineStr"/>
      <c r="K269" s="2" t="n">
        <v>12900</v>
      </c>
      <c r="L269" s="2" t="n">
        <v>10900</v>
      </c>
      <c r="M269" s="2" t="n">
        <v>16</v>
      </c>
      <c r="N269" s="2" t="n">
        <v>15.5</v>
      </c>
      <c r="O269" s="2" t="inlineStr">
        <is>
          <t>1</t>
        </is>
      </c>
      <c r="P269" s="2" t="inlineStr">
        <is>
          <t>날짜지정</t>
        </is>
      </c>
      <c r="Q269" s="2" t="inlineStr">
        <is>
          <t>2026-05-11</t>
        </is>
      </c>
      <c r="R269" s="2" t="inlineStr">
        <is>
          <t>날짜지정</t>
        </is>
      </c>
      <c r="S269" s="2" t="inlineStr">
        <is>
          <t>2026-10-31</t>
        </is>
      </c>
      <c r="T269" s="2" t="b">
        <v>1</v>
      </c>
    </row>
    <row r="270">
      <c r="A270" s="2" t="inlineStr">
        <is>
          <t>328040</t>
        </is>
      </c>
      <c r="B270" s="2" t="inlineStr">
        <is>
          <t>4232798</t>
        </is>
      </c>
      <c r="C270" s="2" t="inlineStr">
        <is>
          <t>레져</t>
        </is>
      </c>
      <c r="D270" s="2" t="inlineStr">
        <is>
          <t>크루즈</t>
        </is>
      </c>
      <c r="E270" s="2" t="inlineStr">
        <is>
          <t>여의도</t>
        </is>
      </c>
      <c r="F270" s="2" t="inlineStr">
        <is>
          <t>한강투어 크루즈</t>
        </is>
      </c>
      <c r="G270" s="2" t="inlineStr">
        <is>
          <t>[여의도] 한강투어 크루즈 대인이용권(~10/31)</t>
        </is>
      </c>
      <c r="H270" s="2" t="inlineStr">
        <is>
          <t>대인</t>
        </is>
      </c>
      <c r="I270" s="2" t="inlineStr">
        <is>
          <t>주중+주말</t>
        </is>
      </c>
      <c r="J270" s="2" t="inlineStr"/>
      <c r="K270" s="2" t="n">
        <v>19900</v>
      </c>
      <c r="L270" s="2" t="n">
        <v>15900</v>
      </c>
      <c r="M270" s="2" t="n">
        <v>20</v>
      </c>
      <c r="N270" s="2" t="n">
        <v>20.1</v>
      </c>
      <c r="O270" s="2" t="inlineStr">
        <is>
          <t>1</t>
        </is>
      </c>
      <c r="P270" s="2" t="inlineStr">
        <is>
          <t>날짜지정</t>
        </is>
      </c>
      <c r="Q270" s="2" t="inlineStr">
        <is>
          <t>2026-05-11</t>
        </is>
      </c>
      <c r="R270" s="2" t="inlineStr">
        <is>
          <t>날짜지정</t>
        </is>
      </c>
      <c r="S270" s="2" t="inlineStr">
        <is>
          <t>2026-10-31</t>
        </is>
      </c>
      <c r="T270" s="2" t="b">
        <v>0</v>
      </c>
    </row>
    <row r="271">
      <c r="A271" s="2" t="inlineStr">
        <is>
          <t>324764</t>
        </is>
      </c>
      <c r="B271" s="2" t="inlineStr">
        <is>
          <t>4145156</t>
        </is>
      </c>
      <c r="C271" s="2" t="inlineStr">
        <is>
          <t>레져</t>
        </is>
      </c>
      <c r="D271" s="2" t="inlineStr">
        <is>
          <t>크루즈</t>
        </is>
      </c>
      <c r="E271" s="2" t="inlineStr">
        <is>
          <t>잠실</t>
        </is>
      </c>
      <c r="F271" s="2" t="inlineStr">
        <is>
          <t>한강투어 크루즈</t>
        </is>
      </c>
      <c r="G271" s="2" t="inlineStr">
        <is>
          <t>[잠실] 한강투어 크루즈 소인이용권(~10/31)</t>
        </is>
      </c>
      <c r="H271" s="2" t="inlineStr">
        <is>
          <t>소인</t>
        </is>
      </c>
      <c r="I271" s="2" t="inlineStr">
        <is>
          <t>주중+주말</t>
        </is>
      </c>
      <c r="J271" s="2" t="inlineStr"/>
      <c r="K271" s="2" t="n">
        <v>19900</v>
      </c>
      <c r="L271" s="2" t="n">
        <v>10900</v>
      </c>
      <c r="M271" s="2" t="n">
        <v>45</v>
      </c>
      <c r="N271" s="2" t="n">
        <v>45.2</v>
      </c>
      <c r="O271" s="2" t="inlineStr">
        <is>
          <t>1</t>
        </is>
      </c>
      <c r="P271" s="2" t="inlineStr">
        <is>
          <t>구매일</t>
        </is>
      </c>
      <c r="Q271" s="2" t="inlineStr">
        <is>
          <t>0</t>
        </is>
      </c>
      <c r="R271" s="2" t="inlineStr">
        <is>
          <t>날짜지정</t>
        </is>
      </c>
      <c r="S271" s="2" t="inlineStr">
        <is>
          <t>2026-10-31</t>
        </is>
      </c>
      <c r="T271" s="2" t="b">
        <v>1</v>
      </c>
    </row>
    <row r="272">
      <c r="A272" s="2" t="inlineStr">
        <is>
          <t>324764</t>
        </is>
      </c>
      <c r="B272" s="2" t="inlineStr">
        <is>
          <t>4145155</t>
        </is>
      </c>
      <c r="C272" s="2" t="inlineStr">
        <is>
          <t>레져</t>
        </is>
      </c>
      <c r="D272" s="2" t="inlineStr">
        <is>
          <t>크루즈</t>
        </is>
      </c>
      <c r="E272" s="2" t="inlineStr">
        <is>
          <t>잠실</t>
        </is>
      </c>
      <c r="F272" s="2" t="inlineStr">
        <is>
          <t>한강투어 크루즈</t>
        </is>
      </c>
      <c r="G272" s="2" t="inlineStr">
        <is>
          <t>[잠실] 한강투어 크루즈 대인이용권(~10/31)</t>
        </is>
      </c>
      <c r="H272" s="2" t="inlineStr">
        <is>
          <t>대인</t>
        </is>
      </c>
      <c r="I272" s="2" t="inlineStr">
        <is>
          <t>주중+주말</t>
        </is>
      </c>
      <c r="J272" s="2" t="inlineStr"/>
      <c r="K272" s="2" t="n">
        <v>19900</v>
      </c>
      <c r="L272" s="2" t="n">
        <v>15900</v>
      </c>
      <c r="M272" s="2" t="n">
        <v>20</v>
      </c>
      <c r="N272" s="2" t="n">
        <v>20.1</v>
      </c>
      <c r="O272" s="2" t="inlineStr">
        <is>
          <t>1</t>
        </is>
      </c>
      <c r="P272" s="2" t="inlineStr">
        <is>
          <t>구매일</t>
        </is>
      </c>
      <c r="Q272" s="2" t="inlineStr">
        <is>
          <t>0</t>
        </is>
      </c>
      <c r="R272" s="2" t="inlineStr">
        <is>
          <t>날짜지정</t>
        </is>
      </c>
      <c r="S272" s="2" t="inlineStr">
        <is>
          <t>2026-10-31</t>
        </is>
      </c>
      <c r="T272" s="2" t="b">
        <v>0</v>
      </c>
    </row>
    <row r="273">
      <c r="A273" s="2" t="inlineStr">
        <is>
          <t>328103</t>
        </is>
      </c>
      <c r="B273" s="2" t="inlineStr">
        <is>
          <t>4234117</t>
        </is>
      </c>
      <c r="C273" s="2" t="inlineStr">
        <is>
          <t>레져</t>
        </is>
      </c>
      <c r="D273" s="2" t="inlineStr">
        <is>
          <t>크루즈</t>
        </is>
      </c>
      <c r="E273" s="2" t="inlineStr">
        <is>
          <t>잠실</t>
        </is>
      </c>
      <c r="F273" s="2" t="inlineStr">
        <is>
          <t>선셋/달빛뮤직/별빛 크루즈</t>
        </is>
      </c>
      <c r="G273" s="2" t="inlineStr">
        <is>
          <t>[잠실] 선셋 크루즈 대인이용권(9/12~10/31)</t>
        </is>
      </c>
      <c r="H273" s="2" t="inlineStr">
        <is>
          <t>대인</t>
        </is>
      </c>
      <c r="I273" s="2" t="inlineStr">
        <is>
          <t>주중+주말</t>
        </is>
      </c>
      <c r="J273" s="2" t="inlineStr"/>
      <c r="K273" s="2" t="n">
        <v>23900</v>
      </c>
      <c r="L273" s="2" t="n">
        <v>22900</v>
      </c>
      <c r="M273" s="2" t="n">
        <v>4</v>
      </c>
      <c r="N273" s="2" t="n">
        <v>4.2</v>
      </c>
      <c r="O273" s="2" t="inlineStr">
        <is>
          <t>1</t>
        </is>
      </c>
      <c r="P273" s="2" t="inlineStr">
        <is>
          <t>날짜지정</t>
        </is>
      </c>
      <c r="Q273" s="2" t="inlineStr">
        <is>
          <t>2026-09-12</t>
        </is>
      </c>
      <c r="R273" s="2" t="inlineStr">
        <is>
          <t>날짜지정</t>
        </is>
      </c>
      <c r="S273" s="2" t="inlineStr">
        <is>
          <t>2026-10-31</t>
        </is>
      </c>
      <c r="T273" s="2" t="b">
        <v>1</v>
      </c>
    </row>
    <row r="274">
      <c r="A274" s="2" t="inlineStr">
        <is>
          <t>328103</t>
        </is>
      </c>
      <c r="B274" s="2" t="inlineStr">
        <is>
          <t>4234118</t>
        </is>
      </c>
      <c r="C274" s="2" t="inlineStr">
        <is>
          <t>레져</t>
        </is>
      </c>
      <c r="D274" s="2" t="inlineStr">
        <is>
          <t>크루즈</t>
        </is>
      </c>
      <c r="E274" s="2" t="inlineStr">
        <is>
          <t>잠실</t>
        </is>
      </c>
      <c r="F274" s="2" t="inlineStr">
        <is>
          <t>선셋/달빛뮤직/별빛 크루즈</t>
        </is>
      </c>
      <c r="G274" s="2" t="inlineStr">
        <is>
          <t>[잠실] 선셋 크루즈 소인이용권(9/12~10/31)</t>
        </is>
      </c>
      <c r="H274" s="2" t="inlineStr">
        <is>
          <t>소인</t>
        </is>
      </c>
      <c r="I274" s="2" t="inlineStr">
        <is>
          <t>주중+주말</t>
        </is>
      </c>
      <c r="J274" s="2" t="inlineStr"/>
      <c r="K274" s="2" t="n">
        <v>23900</v>
      </c>
      <c r="L274" s="2" t="n">
        <v>15900</v>
      </c>
      <c r="M274" s="2" t="n">
        <v>33</v>
      </c>
      <c r="N274" s="2" t="n">
        <v>33.5</v>
      </c>
      <c r="O274" s="2" t="inlineStr">
        <is>
          <t>1</t>
        </is>
      </c>
      <c r="P274" s="2" t="inlineStr">
        <is>
          <t>날짜지정</t>
        </is>
      </c>
      <c r="Q274" s="2" t="inlineStr">
        <is>
          <t>2026-09-12</t>
        </is>
      </c>
      <c r="R274" s="2" t="inlineStr">
        <is>
          <t>날짜지정</t>
        </is>
      </c>
      <c r="S274" s="2" t="inlineStr">
        <is>
          <t>2026-10-31</t>
        </is>
      </c>
      <c r="T274" s="2" t="b">
        <v>0</v>
      </c>
    </row>
    <row r="275">
      <c r="A275" s="2" t="inlineStr">
        <is>
          <t>328103</t>
        </is>
      </c>
      <c r="B275" s="2" t="inlineStr">
        <is>
          <t>4234119</t>
        </is>
      </c>
      <c r="C275" s="2" t="inlineStr">
        <is>
          <t>레져</t>
        </is>
      </c>
      <c r="D275" s="2" t="inlineStr">
        <is>
          <t>크루즈</t>
        </is>
      </c>
      <c r="E275" s="2" t="inlineStr">
        <is>
          <t>잠실</t>
        </is>
      </c>
      <c r="F275" s="2" t="inlineStr">
        <is>
          <t>선셋/달빛뮤직/별빛 크루즈</t>
        </is>
      </c>
      <c r="G275" s="2" t="inlineStr">
        <is>
          <t>[잠실] 달빛뮤직 크루즈 대인이용권(9/12~10/31)</t>
        </is>
      </c>
      <c r="H275" s="2" t="inlineStr">
        <is>
          <t>대인</t>
        </is>
      </c>
      <c r="I275" s="2" t="inlineStr">
        <is>
          <t>주중+주말</t>
        </is>
      </c>
      <c r="J275" s="2" t="inlineStr"/>
      <c r="K275" s="2" t="n">
        <v>31900</v>
      </c>
      <c r="L275" s="2" t="n">
        <v>29900</v>
      </c>
      <c r="M275" s="2" t="n">
        <v>6</v>
      </c>
      <c r="N275" s="2" t="n">
        <v>6.3</v>
      </c>
      <c r="O275" s="2" t="inlineStr">
        <is>
          <t>1</t>
        </is>
      </c>
      <c r="P275" s="2" t="inlineStr">
        <is>
          <t>날짜지정</t>
        </is>
      </c>
      <c r="Q275" s="2" t="inlineStr">
        <is>
          <t>2026-09-12</t>
        </is>
      </c>
      <c r="R275" s="2" t="inlineStr">
        <is>
          <t>날짜지정</t>
        </is>
      </c>
      <c r="S275" s="2" t="inlineStr">
        <is>
          <t>2026-10-31</t>
        </is>
      </c>
      <c r="T275" s="2" t="b">
        <v>0</v>
      </c>
    </row>
    <row r="276">
      <c r="A276" s="2" t="inlineStr">
        <is>
          <t>328103</t>
        </is>
      </c>
      <c r="B276" s="2" t="inlineStr">
        <is>
          <t>4234120</t>
        </is>
      </c>
      <c r="C276" s="2" t="inlineStr">
        <is>
          <t>레져</t>
        </is>
      </c>
      <c r="D276" s="2" t="inlineStr">
        <is>
          <t>크루즈</t>
        </is>
      </c>
      <c r="E276" s="2" t="inlineStr">
        <is>
          <t>잠실</t>
        </is>
      </c>
      <c r="F276" s="2" t="inlineStr">
        <is>
          <t>선셋/달빛뮤직/별빛 크루즈</t>
        </is>
      </c>
      <c r="G276" s="2" t="inlineStr">
        <is>
          <t>[잠실] 달빛뮤직 크루즈 소인이용권(9/12~10/31)</t>
        </is>
      </c>
      <c r="H276" s="2" t="inlineStr">
        <is>
          <t>소인</t>
        </is>
      </c>
      <c r="I276" s="2" t="inlineStr">
        <is>
          <t>주중+주말</t>
        </is>
      </c>
      <c r="J276" s="2" t="inlineStr"/>
      <c r="K276" s="2" t="n">
        <v>31900</v>
      </c>
      <c r="L276" s="2" t="n">
        <v>20900</v>
      </c>
      <c r="M276" s="2" t="n">
        <v>34</v>
      </c>
      <c r="N276" s="2" t="n">
        <v>34.5</v>
      </c>
      <c r="O276" s="2" t="inlineStr">
        <is>
          <t>1</t>
        </is>
      </c>
      <c r="P276" s="2" t="inlineStr">
        <is>
          <t>날짜지정</t>
        </is>
      </c>
      <c r="Q276" s="2" t="inlineStr">
        <is>
          <t>2026-09-12</t>
        </is>
      </c>
      <c r="R276" s="2" t="inlineStr">
        <is>
          <t>날짜지정</t>
        </is>
      </c>
      <c r="S276" s="2" t="inlineStr">
        <is>
          <t>2026-10-31</t>
        </is>
      </c>
      <c r="T276" s="2" t="b">
        <v>0</v>
      </c>
    </row>
    <row r="277">
      <c r="A277" s="2" t="inlineStr">
        <is>
          <t>328103</t>
        </is>
      </c>
      <c r="B277" s="2" t="inlineStr">
        <is>
          <t>4234121</t>
        </is>
      </c>
      <c r="C277" s="2" t="inlineStr">
        <is>
          <t>레져</t>
        </is>
      </c>
      <c r="D277" s="2" t="inlineStr">
        <is>
          <t>크루즈</t>
        </is>
      </c>
      <c r="E277" s="2" t="inlineStr">
        <is>
          <t>잠실</t>
        </is>
      </c>
      <c r="F277" s="2" t="inlineStr">
        <is>
          <t>선셋/달빛뮤직/별빛 크루즈</t>
        </is>
      </c>
      <c r="G277" s="2" t="inlineStr">
        <is>
          <t>[잠실] 별빛 크루즈 대인이용권(~10/31)</t>
        </is>
      </c>
      <c r="H277" s="2" t="inlineStr">
        <is>
          <t>대인</t>
        </is>
      </c>
      <c r="I277" s="2" t="inlineStr">
        <is>
          <t>주중+주말</t>
        </is>
      </c>
      <c r="J277" s="2" t="inlineStr"/>
      <c r="K277" s="2" t="n">
        <v>25900</v>
      </c>
      <c r="L277" s="2" t="n">
        <v>21900</v>
      </c>
      <c r="M277" s="2" t="n">
        <v>15</v>
      </c>
      <c r="N277" s="2" t="n">
        <v>15.4</v>
      </c>
      <c r="O277" s="2" t="inlineStr">
        <is>
          <t>1</t>
        </is>
      </c>
      <c r="P277" s="2" t="inlineStr">
        <is>
          <t>구매일</t>
        </is>
      </c>
      <c r="Q277" s="2" t="inlineStr">
        <is>
          <t>0</t>
        </is>
      </c>
      <c r="R277" s="2" t="inlineStr">
        <is>
          <t>날짜지정</t>
        </is>
      </c>
      <c r="S277" s="2" t="inlineStr">
        <is>
          <t>2026-10-31</t>
        </is>
      </c>
      <c r="T277" s="2" t="b">
        <v>0</v>
      </c>
    </row>
    <row r="278">
      <c r="A278" s="2" t="inlineStr">
        <is>
          <t>328103</t>
        </is>
      </c>
      <c r="B278" s="2" t="inlineStr">
        <is>
          <t>4234122</t>
        </is>
      </c>
      <c r="C278" s="2" t="inlineStr">
        <is>
          <t>레져</t>
        </is>
      </c>
      <c r="D278" s="2" t="inlineStr">
        <is>
          <t>크루즈</t>
        </is>
      </c>
      <c r="E278" s="2" t="inlineStr">
        <is>
          <t>잠실</t>
        </is>
      </c>
      <c r="F278" s="2" t="inlineStr">
        <is>
          <t>선셋/달빛뮤직/별빛 크루즈</t>
        </is>
      </c>
      <c r="G278" s="2" t="inlineStr">
        <is>
          <t>[잠실] 별빛 크루즈 소인이용권(~10/31)</t>
        </is>
      </c>
      <c r="H278" s="2" t="inlineStr">
        <is>
          <t>소인</t>
        </is>
      </c>
      <c r="I278" s="2" t="inlineStr">
        <is>
          <t>주중+주말</t>
        </is>
      </c>
      <c r="J278" s="2" t="inlineStr"/>
      <c r="K278" s="2" t="n">
        <v>25900</v>
      </c>
      <c r="L278" s="2" t="n">
        <v>15900</v>
      </c>
      <c r="M278" s="2" t="n">
        <v>39</v>
      </c>
      <c r="N278" s="2" t="n">
        <v>38.6</v>
      </c>
      <c r="O278" s="2" t="inlineStr">
        <is>
          <t>1</t>
        </is>
      </c>
      <c r="P278" s="2" t="inlineStr">
        <is>
          <t>구매일</t>
        </is>
      </c>
      <c r="Q278" s="2" t="inlineStr">
        <is>
          <t>0</t>
        </is>
      </c>
      <c r="R278" s="2" t="inlineStr">
        <is>
          <t>날짜지정</t>
        </is>
      </c>
      <c r="S278" s="2" t="inlineStr">
        <is>
          <t>2026-10-31</t>
        </is>
      </c>
      <c r="T278" s="2" t="b">
        <v>0</v>
      </c>
    </row>
    <row r="279">
      <c r="A279" s="2" t="inlineStr">
        <is>
          <t>225209</t>
        </is>
      </c>
      <c r="B279" s="2" t="inlineStr">
        <is>
          <t>1794292</t>
        </is>
      </c>
      <c r="C279" s="2" t="inlineStr">
        <is>
          <t>레져</t>
        </is>
      </c>
      <c r="D279" s="2" t="inlineStr">
        <is>
          <t>액티비티</t>
        </is>
      </c>
      <c r="E279" s="2" t="inlineStr">
        <is>
          <t>김포</t>
        </is>
      </c>
      <c r="F279" s="2" t="inlineStr">
        <is>
          <t>아라마리나 요트투어</t>
        </is>
      </c>
      <c r="G279" s="2" t="inlineStr">
        <is>
          <t>1인이용권</t>
        </is>
      </c>
      <c r="H279" s="2" t="inlineStr">
        <is>
          <t>대소공통</t>
        </is>
      </c>
      <c r="I279" s="2" t="inlineStr">
        <is>
          <t>주중+주말</t>
        </is>
      </c>
      <c r="J279" s="2" t="inlineStr"/>
      <c r="K279" s="2" t="n">
        <v>0</v>
      </c>
      <c r="L279" s="2" t="n">
        <v>57000</v>
      </c>
      <c r="M279" s="2" t="n">
        <v>0</v>
      </c>
      <c r="N279" s="2" t="n"/>
      <c r="O279" s="2" t="inlineStr">
        <is>
          <t>1</t>
        </is>
      </c>
      <c r="P279" s="2" t="inlineStr">
        <is>
          <t>구매일</t>
        </is>
      </c>
      <c r="Q279" s="2" t="inlineStr">
        <is>
          <t>0</t>
        </is>
      </c>
      <c r="R279" s="2" t="inlineStr">
        <is>
          <t>구매일</t>
        </is>
      </c>
      <c r="S279" s="2" t="inlineStr">
        <is>
          <t>60</t>
        </is>
      </c>
      <c r="T279" s="2" t="b">
        <v>1</v>
      </c>
    </row>
    <row r="280">
      <c r="A280" s="2" t="inlineStr">
        <is>
          <t>225209</t>
        </is>
      </c>
      <c r="B280" s="2" t="inlineStr">
        <is>
          <t>1794293</t>
        </is>
      </c>
      <c r="C280" s="2" t="inlineStr">
        <is>
          <t>레져</t>
        </is>
      </c>
      <c r="D280" s="2" t="inlineStr">
        <is>
          <t>액티비티</t>
        </is>
      </c>
      <c r="E280" s="2" t="inlineStr">
        <is>
          <t>김포</t>
        </is>
      </c>
      <c r="F280" s="2" t="inlineStr">
        <is>
          <t>아라마리나 요트투어</t>
        </is>
      </c>
      <c r="G280" s="2" t="inlineStr">
        <is>
          <t>2인이용권</t>
        </is>
      </c>
      <c r="H280" s="2" t="inlineStr">
        <is>
          <t>대소공통</t>
        </is>
      </c>
      <c r="I280" s="2" t="inlineStr">
        <is>
          <t>주중+주말</t>
        </is>
      </c>
      <c r="J280" s="2" t="inlineStr"/>
      <c r="K280" s="2" t="n">
        <v>0</v>
      </c>
      <c r="L280" s="2" t="n">
        <v>114000</v>
      </c>
      <c r="M280" s="2" t="n">
        <v>0</v>
      </c>
      <c r="N280" s="2" t="n"/>
      <c r="O280" s="2" t="inlineStr">
        <is>
          <t>1</t>
        </is>
      </c>
      <c r="P280" s="2" t="inlineStr">
        <is>
          <t>구매일</t>
        </is>
      </c>
      <c r="Q280" s="2" t="inlineStr">
        <is>
          <t>0</t>
        </is>
      </c>
      <c r="R280" s="2" t="inlineStr">
        <is>
          <t>구매일</t>
        </is>
      </c>
      <c r="S280" s="2" t="inlineStr">
        <is>
          <t>60</t>
        </is>
      </c>
      <c r="T280" s="2" t="b">
        <v>0</v>
      </c>
    </row>
    <row r="281">
      <c r="A281" s="2" t="inlineStr">
        <is>
          <t>225209</t>
        </is>
      </c>
      <c r="B281" s="2" t="inlineStr">
        <is>
          <t>1794294</t>
        </is>
      </c>
      <c r="C281" s="2" t="inlineStr">
        <is>
          <t>레져</t>
        </is>
      </c>
      <c r="D281" s="2" t="inlineStr">
        <is>
          <t>액티비티</t>
        </is>
      </c>
      <c r="E281" s="2" t="inlineStr">
        <is>
          <t>김포</t>
        </is>
      </c>
      <c r="F281" s="2" t="inlineStr">
        <is>
          <t>아라마리나 요트투어</t>
        </is>
      </c>
      <c r="G281" s="2" t="inlineStr">
        <is>
          <t>3인이용권</t>
        </is>
      </c>
      <c r="H281" s="2" t="inlineStr">
        <is>
          <t>대소공통</t>
        </is>
      </c>
      <c r="I281" s="2" t="inlineStr">
        <is>
          <t>주중+주말</t>
        </is>
      </c>
      <c r="J281" s="2" t="inlineStr"/>
      <c r="K281" s="2" t="n">
        <v>0</v>
      </c>
      <c r="L281" s="2" t="n">
        <v>159000</v>
      </c>
      <c r="M281" s="2" t="n">
        <v>0</v>
      </c>
      <c r="N281" s="2" t="n"/>
      <c r="O281" s="2" t="inlineStr">
        <is>
          <t>1</t>
        </is>
      </c>
      <c r="P281" s="2" t="inlineStr">
        <is>
          <t>구매일</t>
        </is>
      </c>
      <c r="Q281" s="2" t="inlineStr">
        <is>
          <t>0</t>
        </is>
      </c>
      <c r="R281" s="2" t="inlineStr">
        <is>
          <t>구매일</t>
        </is>
      </c>
      <c r="S281" s="2" t="inlineStr">
        <is>
          <t>60</t>
        </is>
      </c>
      <c r="T281" s="2" t="b">
        <v>0</v>
      </c>
    </row>
    <row r="282">
      <c r="A282" s="2" t="inlineStr">
        <is>
          <t>225209</t>
        </is>
      </c>
      <c r="B282" s="2" t="inlineStr">
        <is>
          <t>1794295</t>
        </is>
      </c>
      <c r="C282" s="2" t="inlineStr">
        <is>
          <t>레져</t>
        </is>
      </c>
      <c r="D282" s="2" t="inlineStr">
        <is>
          <t>액티비티</t>
        </is>
      </c>
      <c r="E282" s="2" t="inlineStr">
        <is>
          <t>김포</t>
        </is>
      </c>
      <c r="F282" s="2" t="inlineStr">
        <is>
          <t>아라마리나 요트투어</t>
        </is>
      </c>
      <c r="G282" s="2" t="inlineStr">
        <is>
          <t>4인이용권</t>
        </is>
      </c>
      <c r="H282" s="2" t="inlineStr">
        <is>
          <t>대소공통</t>
        </is>
      </c>
      <c r="I282" s="2" t="inlineStr">
        <is>
          <t>주중+주말</t>
        </is>
      </c>
      <c r="J282" s="2" t="inlineStr"/>
      <c r="K282" s="2" t="n">
        <v>0</v>
      </c>
      <c r="L282" s="2" t="n">
        <v>212000</v>
      </c>
      <c r="M282" s="2" t="n">
        <v>0</v>
      </c>
      <c r="N282" s="2" t="n"/>
      <c r="O282" s="2" t="inlineStr">
        <is>
          <t>1</t>
        </is>
      </c>
      <c r="P282" s="2" t="inlineStr">
        <is>
          <t>구매일</t>
        </is>
      </c>
      <c r="Q282" s="2" t="inlineStr">
        <is>
          <t>0</t>
        </is>
      </c>
      <c r="R282" s="2" t="inlineStr">
        <is>
          <t>구매일</t>
        </is>
      </c>
      <c r="S282" s="2" t="inlineStr">
        <is>
          <t>60</t>
        </is>
      </c>
      <c r="T282" s="2" t="b">
        <v>0</v>
      </c>
    </row>
    <row r="283">
      <c r="A283" s="2" t="inlineStr">
        <is>
          <t>225209</t>
        </is>
      </c>
      <c r="B283" s="2" t="inlineStr">
        <is>
          <t>1794296</t>
        </is>
      </c>
      <c r="C283" s="2" t="inlineStr">
        <is>
          <t>레져</t>
        </is>
      </c>
      <c r="D283" s="2" t="inlineStr">
        <is>
          <t>액티비티</t>
        </is>
      </c>
      <c r="E283" s="2" t="inlineStr">
        <is>
          <t>김포</t>
        </is>
      </c>
      <c r="F283" s="2" t="inlineStr">
        <is>
          <t>아라마리나 요트투어</t>
        </is>
      </c>
      <c r="G283" s="2" t="inlineStr">
        <is>
          <t>5인이용권</t>
        </is>
      </c>
      <c r="H283" s="2" t="inlineStr">
        <is>
          <t>대소공통</t>
        </is>
      </c>
      <c r="I283" s="2" t="inlineStr">
        <is>
          <t>주중+주말</t>
        </is>
      </c>
      <c r="J283" s="2" t="inlineStr"/>
      <c r="K283" s="2" t="n">
        <v>0</v>
      </c>
      <c r="L283" s="2" t="n">
        <v>265000</v>
      </c>
      <c r="M283" s="2" t="n">
        <v>0</v>
      </c>
      <c r="N283" s="2" t="n"/>
      <c r="O283" s="2" t="inlineStr">
        <is>
          <t>1</t>
        </is>
      </c>
      <c r="P283" s="2" t="inlineStr">
        <is>
          <t>구매일</t>
        </is>
      </c>
      <c r="Q283" s="2" t="inlineStr">
        <is>
          <t>0</t>
        </is>
      </c>
      <c r="R283" s="2" t="inlineStr">
        <is>
          <t>구매일</t>
        </is>
      </c>
      <c r="S283" s="2" t="inlineStr">
        <is>
          <t>60</t>
        </is>
      </c>
      <c r="T283" s="2" t="b">
        <v>0</v>
      </c>
    </row>
    <row r="284">
      <c r="A284" s="2" t="inlineStr">
        <is>
          <t>225209</t>
        </is>
      </c>
      <c r="B284" s="2" t="inlineStr">
        <is>
          <t>1794290</t>
        </is>
      </c>
      <c r="C284" s="2" t="inlineStr">
        <is>
          <t>레져</t>
        </is>
      </c>
      <c r="D284" s="2" t="inlineStr">
        <is>
          <t>액티비티</t>
        </is>
      </c>
      <c r="E284" s="2" t="inlineStr">
        <is>
          <t>김포</t>
        </is>
      </c>
      <c r="F284" s="2" t="inlineStr">
        <is>
          <t>아라마리나 요트투어</t>
        </is>
      </c>
      <c r="G284" s="2" t="inlineStr">
        <is>
          <t>(2인~6인 예약 시)단독이용권</t>
        </is>
      </c>
      <c r="H284" s="2" t="inlineStr">
        <is>
          <t>대소공통</t>
        </is>
      </c>
      <c r="I284" s="2" t="inlineStr">
        <is>
          <t>주중+주말</t>
        </is>
      </c>
      <c r="J284" s="2" t="inlineStr"/>
      <c r="K284" s="2" t="n">
        <v>0</v>
      </c>
      <c r="L284" s="2" t="n">
        <v>315000</v>
      </c>
      <c r="M284" s="2" t="n">
        <v>0</v>
      </c>
      <c r="N284" s="2" t="n"/>
      <c r="O284" s="2" t="inlineStr">
        <is>
          <t>1</t>
        </is>
      </c>
      <c r="P284" s="2" t="inlineStr">
        <is>
          <t>구매일</t>
        </is>
      </c>
      <c r="Q284" s="2" t="inlineStr">
        <is>
          <t>0</t>
        </is>
      </c>
      <c r="R284" s="2" t="inlineStr">
        <is>
          <t>구매일</t>
        </is>
      </c>
      <c r="S284" s="2" t="inlineStr">
        <is>
          <t>60</t>
        </is>
      </c>
      <c r="T284" s="2" t="b">
        <v>0</v>
      </c>
    </row>
    <row r="285">
      <c r="A285" s="2" t="inlineStr">
        <is>
          <t>225209</t>
        </is>
      </c>
      <c r="B285" s="2" t="inlineStr">
        <is>
          <t>1794291</t>
        </is>
      </c>
      <c r="C285" s="2" t="inlineStr">
        <is>
          <t>레져</t>
        </is>
      </c>
      <c r="D285" s="2" t="inlineStr">
        <is>
          <t>액티비티</t>
        </is>
      </c>
      <c r="E285" s="2" t="inlineStr">
        <is>
          <t>김포</t>
        </is>
      </c>
      <c r="F285" s="2" t="inlineStr">
        <is>
          <t>아라마리나 요트투어</t>
        </is>
      </c>
      <c r="G285" s="2" t="inlineStr">
        <is>
          <t>(7인~10인 예약 시)단독이용권</t>
        </is>
      </c>
      <c r="H285" s="2" t="inlineStr">
        <is>
          <t>대소공통</t>
        </is>
      </c>
      <c r="I285" s="2" t="inlineStr">
        <is>
          <t>주중+주말</t>
        </is>
      </c>
      <c r="J285" s="2" t="inlineStr"/>
      <c r="K285" s="2" t="n">
        <v>0</v>
      </c>
      <c r="L285" s="2" t="n">
        <v>365000</v>
      </c>
      <c r="M285" s="2" t="n">
        <v>0</v>
      </c>
      <c r="N285" s="2" t="n"/>
      <c r="O285" s="2" t="inlineStr">
        <is>
          <t>1</t>
        </is>
      </c>
      <c r="P285" s="2" t="inlineStr">
        <is>
          <t>구매일</t>
        </is>
      </c>
      <c r="Q285" s="2" t="inlineStr">
        <is>
          <t>0</t>
        </is>
      </c>
      <c r="R285" s="2" t="inlineStr">
        <is>
          <t>구매일</t>
        </is>
      </c>
      <c r="S285" s="2" t="inlineStr">
        <is>
          <t>60</t>
        </is>
      </c>
      <c r="T285" s="2" t="b">
        <v>0</v>
      </c>
    </row>
    <row r="286">
      <c r="A286" s="2" t="inlineStr">
        <is>
          <t>243104</t>
        </is>
      </c>
      <c r="B286" s="2" t="inlineStr">
        <is>
          <t>2288701</t>
        </is>
      </c>
      <c r="C286" s="2" t="inlineStr">
        <is>
          <t>레져</t>
        </is>
      </c>
      <c r="D286" s="2" t="inlineStr">
        <is>
          <t>액티비티</t>
        </is>
      </c>
      <c r="E286" s="2" t="inlineStr">
        <is>
          <t>춘천</t>
        </is>
      </c>
      <c r="F286" s="2" t="inlineStr">
        <is>
          <t>곤돌라 의암8경 물길여행</t>
        </is>
      </c>
      <c r="G286" s="2" t="inlineStr">
        <is>
          <t>의암8경 청소년이용권 춘천곤돌라(*메모란에 예약시간을 남겨주세요)</t>
        </is>
      </c>
      <c r="H286" s="2" t="inlineStr">
        <is>
          <t>청소년</t>
        </is>
      </c>
      <c r="I286" s="2" t="inlineStr">
        <is>
          <t>주중+주말</t>
        </is>
      </c>
      <c r="J286" s="2" t="inlineStr"/>
      <c r="K286" s="2" t="n">
        <v>20000</v>
      </c>
      <c r="L286" s="2" t="n">
        <v>19000</v>
      </c>
      <c r="M286" s="2" t="n">
        <v>5</v>
      </c>
      <c r="N286" s="2" t="n">
        <v>5</v>
      </c>
      <c r="O286" s="2" t="inlineStr">
        <is>
          <t>1</t>
        </is>
      </c>
      <c r="P286" s="2" t="inlineStr">
        <is>
          <t>구매일</t>
        </is>
      </c>
      <c r="Q286" s="2" t="inlineStr">
        <is>
          <t>0</t>
        </is>
      </c>
      <c r="R286" s="2" t="inlineStr">
        <is>
          <t>구매일</t>
        </is>
      </c>
      <c r="S286" s="2" t="inlineStr">
        <is>
          <t>60</t>
        </is>
      </c>
      <c r="T286" s="2" t="b">
        <v>1</v>
      </c>
    </row>
    <row r="287">
      <c r="A287" s="2" t="inlineStr">
        <is>
          <t>243104</t>
        </is>
      </c>
      <c r="B287" s="2" t="inlineStr">
        <is>
          <t>2288702</t>
        </is>
      </c>
      <c r="C287" s="2" t="inlineStr">
        <is>
          <t>레져</t>
        </is>
      </c>
      <c r="D287" s="2" t="inlineStr">
        <is>
          <t>액티비티</t>
        </is>
      </c>
      <c r="E287" s="2" t="inlineStr">
        <is>
          <t>춘천</t>
        </is>
      </c>
      <c r="F287" s="2" t="inlineStr">
        <is>
          <t>곤돌라 의암8경 물길여행</t>
        </is>
      </c>
      <c r="G287" s="2" t="inlineStr">
        <is>
          <t>의암8경 소인이용권 춘천곤돌라(*메모란에 예약시간을 남겨주세요)</t>
        </is>
      </c>
      <c r="H287" s="2" t="inlineStr">
        <is>
          <t>소인</t>
        </is>
      </c>
      <c r="I287" s="2" t="inlineStr">
        <is>
          <t>주중+주말</t>
        </is>
      </c>
      <c r="J287" s="2" t="inlineStr"/>
      <c r="K287" s="2" t="n">
        <v>10000</v>
      </c>
      <c r="L287" s="2" t="n">
        <v>9500</v>
      </c>
      <c r="M287" s="2" t="n">
        <v>5</v>
      </c>
      <c r="N287" s="2" t="n">
        <v>5</v>
      </c>
      <c r="O287" s="2" t="inlineStr">
        <is>
          <t>1</t>
        </is>
      </c>
      <c r="P287" s="2" t="inlineStr">
        <is>
          <t>구매일</t>
        </is>
      </c>
      <c r="Q287" s="2" t="inlineStr">
        <is>
          <t>0</t>
        </is>
      </c>
      <c r="R287" s="2" t="inlineStr">
        <is>
          <t>구매일</t>
        </is>
      </c>
      <c r="S287" s="2" t="inlineStr">
        <is>
          <t>60</t>
        </is>
      </c>
      <c r="T287" s="2" t="b">
        <v>0</v>
      </c>
    </row>
    <row r="288">
      <c r="A288" s="2" t="inlineStr">
        <is>
          <t>243104</t>
        </is>
      </c>
      <c r="B288" s="2" t="inlineStr">
        <is>
          <t>2288700</t>
        </is>
      </c>
      <c r="C288" s="2" t="inlineStr">
        <is>
          <t>레져</t>
        </is>
      </c>
      <c r="D288" s="2" t="inlineStr">
        <is>
          <t>액티비티</t>
        </is>
      </c>
      <c r="E288" s="2" t="inlineStr">
        <is>
          <t>춘천</t>
        </is>
      </c>
      <c r="F288" s="2" t="inlineStr">
        <is>
          <t>곤돌라 의암8경 물길여행</t>
        </is>
      </c>
      <c r="G288" s="2" t="inlineStr">
        <is>
          <t>의암8경 대인이용권 춘천곤돌라(*메모란에 예약시간을 남겨주세요)</t>
        </is>
      </c>
      <c r="H288" s="2" t="inlineStr">
        <is>
          <t>대인</t>
        </is>
      </c>
      <c r="I288" s="2" t="inlineStr">
        <is>
          <t>주중+주말</t>
        </is>
      </c>
      <c r="J288" s="2" t="inlineStr"/>
      <c r="K288" s="2" t="n">
        <v>25000</v>
      </c>
      <c r="L288" s="2" t="n">
        <v>24000</v>
      </c>
      <c r="M288" s="2" t="n">
        <v>4</v>
      </c>
      <c r="N288" s="2" t="n">
        <v>4</v>
      </c>
      <c r="O288" s="2" t="inlineStr">
        <is>
          <t>1</t>
        </is>
      </c>
      <c r="P288" s="2" t="inlineStr">
        <is>
          <t>구매일</t>
        </is>
      </c>
      <c r="Q288" s="2" t="inlineStr">
        <is>
          <t>0</t>
        </is>
      </c>
      <c r="R288" s="2" t="inlineStr">
        <is>
          <t>구매일</t>
        </is>
      </c>
      <c r="S288" s="2" t="inlineStr">
        <is>
          <t>60</t>
        </is>
      </c>
      <c r="T288" s="2" t="b">
        <v>0</v>
      </c>
    </row>
    <row r="289">
      <c r="A289" s="2" t="inlineStr">
        <is>
          <t>292493</t>
        </is>
      </c>
      <c r="B289" s="2" t="inlineStr">
        <is>
          <t>3413808</t>
        </is>
      </c>
      <c r="C289" s="2" t="inlineStr">
        <is>
          <t>레져</t>
        </is>
      </c>
      <c r="D289" s="2" t="inlineStr">
        <is>
          <t>크루즈</t>
        </is>
      </c>
      <c r="E289" s="2" t="inlineStr">
        <is>
          <t>속초</t>
        </is>
      </c>
      <c r="F289" s="2" t="inlineStr">
        <is>
          <t>코마린 세일요트</t>
        </is>
      </c>
      <c r="G289" s="2" t="inlineStr">
        <is>
          <t>B코스 대인이용권 속초코마린</t>
        </is>
      </c>
      <c r="H289" s="2" t="inlineStr">
        <is>
          <t>대인</t>
        </is>
      </c>
      <c r="I289" s="2" t="inlineStr">
        <is>
          <t>주중+주말</t>
        </is>
      </c>
      <c r="J289" s="2" t="inlineStr">
        <is>
          <t>종일</t>
        </is>
      </c>
      <c r="K289" s="2" t="n">
        <v>36000</v>
      </c>
      <c r="L289" s="2" t="n">
        <v>30000</v>
      </c>
      <c r="M289" s="2" t="n">
        <v>17</v>
      </c>
      <c r="N289" s="2" t="n">
        <v>16.7</v>
      </c>
      <c r="O289" s="2" t="inlineStr">
        <is>
          <t>1</t>
        </is>
      </c>
      <c r="P289" s="2" t="inlineStr">
        <is>
          <t>구매일</t>
        </is>
      </c>
      <c r="Q289" s="2" t="inlineStr">
        <is>
          <t>0</t>
        </is>
      </c>
      <c r="R289" s="2" t="inlineStr">
        <is>
          <t>구매일</t>
        </is>
      </c>
      <c r="S289" s="2" t="inlineStr">
        <is>
          <t>60</t>
        </is>
      </c>
      <c r="T289" s="2" t="b">
        <v>1</v>
      </c>
    </row>
    <row r="290">
      <c r="A290" s="2" t="inlineStr">
        <is>
          <t>292493</t>
        </is>
      </c>
      <c r="B290" s="2" t="inlineStr">
        <is>
          <t>3413809</t>
        </is>
      </c>
      <c r="C290" s="2" t="inlineStr">
        <is>
          <t>레져</t>
        </is>
      </c>
      <c r="D290" s="2" t="inlineStr">
        <is>
          <t>크루즈</t>
        </is>
      </c>
      <c r="E290" s="2" t="inlineStr">
        <is>
          <t>속초</t>
        </is>
      </c>
      <c r="F290" s="2" t="inlineStr">
        <is>
          <t>코마린 세일요트</t>
        </is>
      </c>
      <c r="G290" s="2" t="inlineStr">
        <is>
          <t>B코스 소인이용권 속초코마린</t>
        </is>
      </c>
      <c r="H290" s="2" t="inlineStr">
        <is>
          <t>소인</t>
        </is>
      </c>
      <c r="I290" s="2" t="inlineStr">
        <is>
          <t>주중+주말</t>
        </is>
      </c>
      <c r="J290" s="2" t="inlineStr">
        <is>
          <t>종일</t>
        </is>
      </c>
      <c r="K290" s="2" t="n">
        <v>24000</v>
      </c>
      <c r="L290" s="2" t="n">
        <v>20000</v>
      </c>
      <c r="M290" s="2" t="n">
        <v>17</v>
      </c>
      <c r="N290" s="2" t="n">
        <v>16.7</v>
      </c>
      <c r="O290" s="2" t="inlineStr">
        <is>
          <t>1</t>
        </is>
      </c>
      <c r="P290" s="2" t="inlineStr">
        <is>
          <t>구매일</t>
        </is>
      </c>
      <c r="Q290" s="2" t="inlineStr">
        <is>
          <t>0</t>
        </is>
      </c>
      <c r="R290" s="2" t="inlineStr">
        <is>
          <t>구매일</t>
        </is>
      </c>
      <c r="S290" s="2" t="inlineStr">
        <is>
          <t>60</t>
        </is>
      </c>
      <c r="T290" s="2" t="b">
        <v>0</v>
      </c>
    </row>
    <row r="291">
      <c r="A291" s="2" t="inlineStr">
        <is>
          <t>292556</t>
        </is>
      </c>
      <c r="B291" s="2" t="inlineStr">
        <is>
          <t>3414035</t>
        </is>
      </c>
      <c r="C291" s="2" t="inlineStr">
        <is>
          <t>레져</t>
        </is>
      </c>
      <c r="D291" s="2" t="inlineStr">
        <is>
          <t>크루즈</t>
        </is>
      </c>
      <c r="E291" s="2" t="inlineStr">
        <is>
          <t>속초</t>
        </is>
      </c>
      <c r="F291" s="2" t="inlineStr">
        <is>
          <t>코마린 세일요트 단독투어</t>
        </is>
      </c>
      <c r="G291" s="2" t="inlineStr">
        <is>
          <t>세일요트 단독투어 속초코마린</t>
        </is>
      </c>
      <c r="H291" s="2" t="inlineStr">
        <is>
          <t>대소공통</t>
        </is>
      </c>
      <c r="I291" s="2" t="inlineStr">
        <is>
          <t>주중+주말</t>
        </is>
      </c>
      <c r="J291" s="2" t="inlineStr">
        <is>
          <t>종일</t>
        </is>
      </c>
      <c r="K291" s="2" t="n">
        <v>250000</v>
      </c>
      <c r="L291" s="2" t="n">
        <v>210000</v>
      </c>
      <c r="M291" s="2" t="n">
        <v>16</v>
      </c>
      <c r="N291" s="2" t="n">
        <v>16</v>
      </c>
      <c r="O291" s="2" t="inlineStr">
        <is>
          <t>1</t>
        </is>
      </c>
      <c r="P291" s="2" t="inlineStr">
        <is>
          <t>구매일</t>
        </is>
      </c>
      <c r="Q291" s="2" t="inlineStr">
        <is>
          <t>0</t>
        </is>
      </c>
      <c r="R291" s="2" t="inlineStr">
        <is>
          <t>구매일</t>
        </is>
      </c>
      <c r="S291" s="2" t="inlineStr">
        <is>
          <t>60</t>
        </is>
      </c>
      <c r="T291" s="2" t="b">
        <v>1</v>
      </c>
    </row>
    <row r="292">
      <c r="A292" s="2" t="inlineStr">
        <is>
          <t>225217</t>
        </is>
      </c>
      <c r="B292" s="2" t="inlineStr">
        <is>
          <t>1794320</t>
        </is>
      </c>
      <c r="C292" s="2" t="inlineStr">
        <is>
          <t>레져</t>
        </is>
      </c>
      <c r="D292" s="2" t="inlineStr">
        <is>
          <t>액티비티</t>
        </is>
      </c>
      <c r="E292" s="2" t="inlineStr">
        <is>
          <t>양평</t>
        </is>
      </c>
      <c r="F292" s="2" t="inlineStr">
        <is>
          <t>패러러브 패러글라이딩</t>
        </is>
      </c>
      <c r="G292" s="2" t="inlineStr">
        <is>
          <t>기본코스 이용권</t>
        </is>
      </c>
      <c r="H292" s="2" t="inlineStr">
        <is>
          <t>대소공통</t>
        </is>
      </c>
      <c r="I292" s="2" t="inlineStr">
        <is>
          <t>주중+주말</t>
        </is>
      </c>
      <c r="J292" s="2" t="inlineStr">
        <is>
          <t>종일</t>
        </is>
      </c>
      <c r="K292" s="2" t="n">
        <v>140000</v>
      </c>
      <c r="L292" s="2" t="n">
        <v>130000</v>
      </c>
      <c r="M292" s="2" t="n">
        <v>7</v>
      </c>
      <c r="N292" s="2" t="n">
        <v>7.1</v>
      </c>
      <c r="O292" s="2" t="inlineStr">
        <is>
          <t>1</t>
        </is>
      </c>
      <c r="P292" s="2" t="inlineStr">
        <is>
          <t>구매일</t>
        </is>
      </c>
      <c r="Q292" s="2" t="inlineStr">
        <is>
          <t>0</t>
        </is>
      </c>
      <c r="R292" s="2" t="inlineStr">
        <is>
          <t>구매일</t>
        </is>
      </c>
      <c r="S292" s="2" t="inlineStr">
        <is>
          <t>60</t>
        </is>
      </c>
      <c r="T292" s="2" t="b">
        <v>1</v>
      </c>
    </row>
    <row r="293">
      <c r="A293" s="2" t="inlineStr">
        <is>
          <t>225217</t>
        </is>
      </c>
      <c r="B293" s="2" t="inlineStr">
        <is>
          <t>1794322</t>
        </is>
      </c>
      <c r="C293" s="2" t="inlineStr">
        <is>
          <t>레져</t>
        </is>
      </c>
      <c r="D293" s="2" t="inlineStr">
        <is>
          <t>액티비티</t>
        </is>
      </c>
      <c r="E293" s="2" t="inlineStr">
        <is>
          <t>양평</t>
        </is>
      </c>
      <c r="F293" s="2" t="inlineStr">
        <is>
          <t>패러러브 패러글라이딩</t>
        </is>
      </c>
      <c r="G293" s="2" t="inlineStr">
        <is>
          <t>항공촬영코스 이용권</t>
        </is>
      </c>
      <c r="H293" s="2" t="inlineStr">
        <is>
          <t>대소공통</t>
        </is>
      </c>
      <c r="I293" s="2" t="inlineStr">
        <is>
          <t>주중+주말</t>
        </is>
      </c>
      <c r="J293" s="2" t="inlineStr">
        <is>
          <t>종일</t>
        </is>
      </c>
      <c r="K293" s="2" t="n">
        <v>160000</v>
      </c>
      <c r="L293" s="2" t="n">
        <v>150000</v>
      </c>
      <c r="M293" s="2" t="n">
        <v>6</v>
      </c>
      <c r="N293" s="2" t="n">
        <v>6.2</v>
      </c>
      <c r="O293" s="2" t="inlineStr">
        <is>
          <t>1</t>
        </is>
      </c>
      <c r="P293" s="2" t="inlineStr">
        <is>
          <t>구매일</t>
        </is>
      </c>
      <c r="Q293" s="2" t="inlineStr">
        <is>
          <t>0</t>
        </is>
      </c>
      <c r="R293" s="2" t="inlineStr">
        <is>
          <t>구매일</t>
        </is>
      </c>
      <c r="S293" s="2" t="inlineStr">
        <is>
          <t>60</t>
        </is>
      </c>
      <c r="T293" s="2" t="b">
        <v>0</v>
      </c>
    </row>
    <row r="294">
      <c r="A294" s="2" t="inlineStr">
        <is>
          <t>225212</t>
        </is>
      </c>
      <c r="B294" s="2" t="inlineStr">
        <is>
          <t>1794299</t>
        </is>
      </c>
      <c r="C294" s="2" t="inlineStr">
        <is>
          <t>레져</t>
        </is>
      </c>
      <c r="D294" s="2" t="inlineStr">
        <is>
          <t>액티비티</t>
        </is>
      </c>
      <c r="E294" s="2" t="inlineStr">
        <is>
          <t>단양</t>
        </is>
      </c>
      <c r="F294" s="2" t="inlineStr">
        <is>
          <t>더쎈 패러글라이딩</t>
        </is>
      </c>
      <c r="G294" s="2" t="inlineStr">
        <is>
          <t>더쎈 익스트림코스</t>
        </is>
      </c>
      <c r="H294" s="2" t="inlineStr">
        <is>
          <t>대소공통</t>
        </is>
      </c>
      <c r="I294" s="2" t="inlineStr">
        <is>
          <t>주중+주말</t>
        </is>
      </c>
      <c r="J294" s="2" t="inlineStr">
        <is>
          <t>종일</t>
        </is>
      </c>
      <c r="K294" s="2" t="n">
        <v>120000</v>
      </c>
      <c r="L294" s="2" t="n">
        <v>105000</v>
      </c>
      <c r="M294" s="2" t="n">
        <v>12</v>
      </c>
      <c r="N294" s="2" t="n">
        <v>12.5</v>
      </c>
      <c r="O294" s="2" t="inlineStr">
        <is>
          <t>1</t>
        </is>
      </c>
      <c r="P294" s="2" t="inlineStr">
        <is>
          <t>구매일</t>
        </is>
      </c>
      <c r="Q294" s="2" t="inlineStr">
        <is>
          <t>0</t>
        </is>
      </c>
      <c r="R294" s="2" t="inlineStr">
        <is>
          <t>구매일</t>
        </is>
      </c>
      <c r="S294" s="2" t="inlineStr">
        <is>
          <t>60</t>
        </is>
      </c>
      <c r="T294" s="2" t="b">
        <v>1</v>
      </c>
    </row>
    <row r="295">
      <c r="A295" s="2" t="inlineStr">
        <is>
          <t>225212</t>
        </is>
      </c>
      <c r="B295" s="2" t="inlineStr">
        <is>
          <t>1794300</t>
        </is>
      </c>
      <c r="C295" s="2" t="inlineStr">
        <is>
          <t>레져</t>
        </is>
      </c>
      <c r="D295" s="2" t="inlineStr">
        <is>
          <t>액티비티</t>
        </is>
      </c>
      <c r="E295" s="2" t="inlineStr">
        <is>
          <t>단양</t>
        </is>
      </c>
      <c r="F295" s="2" t="inlineStr">
        <is>
          <t>더쎈 패러글라이딩</t>
        </is>
      </c>
      <c r="G295" s="2" t="inlineStr">
        <is>
          <t>더쎈 노멀코스</t>
        </is>
      </c>
      <c r="H295" s="2" t="inlineStr">
        <is>
          <t>대소공통</t>
        </is>
      </c>
      <c r="I295" s="2" t="inlineStr">
        <is>
          <t>주중+주말</t>
        </is>
      </c>
      <c r="J295" s="2" t="inlineStr">
        <is>
          <t>종일</t>
        </is>
      </c>
      <c r="K295" s="2" t="n">
        <v>90000</v>
      </c>
      <c r="L295" s="2" t="n">
        <v>85000</v>
      </c>
      <c r="M295" s="2" t="n">
        <v>6</v>
      </c>
      <c r="N295" s="2" t="n">
        <v>5.6</v>
      </c>
      <c r="O295" s="2" t="inlineStr">
        <is>
          <t>1</t>
        </is>
      </c>
      <c r="P295" s="2" t="inlineStr">
        <is>
          <t>구매일</t>
        </is>
      </c>
      <c r="Q295" s="2" t="inlineStr">
        <is>
          <t>0</t>
        </is>
      </c>
      <c r="R295" s="2" t="inlineStr">
        <is>
          <t>구매일</t>
        </is>
      </c>
      <c r="S295" s="2" t="inlineStr">
        <is>
          <t>60</t>
        </is>
      </c>
      <c r="T295" s="2" t="b">
        <v>0</v>
      </c>
    </row>
    <row r="296">
      <c r="A296" s="2" t="inlineStr">
        <is>
          <t>326843</t>
        </is>
      </c>
      <c r="B296" s="2" t="inlineStr">
        <is>
          <t>4208073</t>
        </is>
      </c>
      <c r="C296" s="2" t="inlineStr">
        <is>
          <t>레져</t>
        </is>
      </c>
      <c r="D296" s="2" t="inlineStr">
        <is>
          <t>액티비티</t>
        </is>
      </c>
      <c r="E296" s="2" t="inlineStr">
        <is>
          <t>경남</t>
        </is>
      </c>
      <c r="F296" s="2" t="inlineStr">
        <is>
          <t>통영 케이블카 패키지</t>
        </is>
      </c>
      <c r="G296" s="2" t="inlineStr">
        <is>
          <t>케이블카 1회왕복+디피랑(~9/30)</t>
        </is>
      </c>
      <c r="H296" s="2" t="inlineStr">
        <is>
          <t>대소공통</t>
        </is>
      </c>
      <c r="I296" s="2" t="inlineStr">
        <is>
          <t>주중+주말</t>
        </is>
      </c>
      <c r="J296" s="2" t="inlineStr">
        <is>
          <t>종일</t>
        </is>
      </c>
      <c r="K296" s="2" t="n">
        <v>32000</v>
      </c>
      <c r="L296" s="2" t="n">
        <v>22100</v>
      </c>
      <c r="M296" s="2" t="n">
        <v>31</v>
      </c>
      <c r="N296" s="2" t="n">
        <v>30.9</v>
      </c>
      <c r="O296" s="2" t="inlineStr">
        <is>
          <t>1</t>
        </is>
      </c>
      <c r="P296" s="2" t="inlineStr">
        <is>
          <t>날짜지정</t>
        </is>
      </c>
      <c r="Q296" s="2" t="inlineStr">
        <is>
          <t>2026-05-08</t>
        </is>
      </c>
      <c r="R296" s="2" t="inlineStr">
        <is>
          <t>날짜지정</t>
        </is>
      </c>
      <c r="S296" s="2" t="inlineStr">
        <is>
          <t>2026-09-30</t>
        </is>
      </c>
      <c r="T296" s="2" t="b">
        <v>1</v>
      </c>
    </row>
    <row r="297">
      <c r="A297" s="2" t="inlineStr">
        <is>
          <t>316426</t>
        </is>
      </c>
      <c r="B297" s="2" t="inlineStr">
        <is>
          <t>3934111</t>
        </is>
      </c>
      <c r="C297" s="2" t="inlineStr">
        <is>
          <t>레져</t>
        </is>
      </c>
      <c r="D297" s="2" t="inlineStr">
        <is>
          <t>액티비티</t>
        </is>
      </c>
      <c r="E297" s="2" t="inlineStr">
        <is>
          <t>철원</t>
        </is>
      </c>
      <c r="F297" s="2" t="inlineStr">
        <is>
          <t>한레저</t>
        </is>
      </c>
      <c r="G297" s="2" t="inlineStr">
        <is>
          <t>래프팅or서바이벌 中 택1 체험권 한레저(~9/30)</t>
        </is>
      </c>
      <c r="H297" s="2" t="inlineStr">
        <is>
          <t>대소공통</t>
        </is>
      </c>
      <c r="I297" s="2" t="inlineStr">
        <is>
          <t>주중+주말</t>
        </is>
      </c>
      <c r="J297" s="2" t="inlineStr">
        <is>
          <t>종일</t>
        </is>
      </c>
      <c r="K297" s="2" t="n">
        <v>36000</v>
      </c>
      <c r="L297" s="2" t="n">
        <v>25000</v>
      </c>
      <c r="M297" s="2" t="n">
        <v>31</v>
      </c>
      <c r="N297" s="2" t="n">
        <v>30.6</v>
      </c>
      <c r="O297" s="2" t="inlineStr">
        <is>
          <t>1</t>
        </is>
      </c>
      <c r="P297" s="2" t="inlineStr">
        <is>
          <t>구매일</t>
        </is>
      </c>
      <c r="Q297" s="2" t="inlineStr">
        <is>
          <t>0</t>
        </is>
      </c>
      <c r="R297" s="2" t="inlineStr">
        <is>
          <t>날짜지정</t>
        </is>
      </c>
      <c r="S297" s="2" t="inlineStr">
        <is>
          <t>2026-09-30</t>
        </is>
      </c>
      <c r="T297" s="2" t="b">
        <v>1</v>
      </c>
    </row>
    <row r="298">
      <c r="A298" s="2" t="inlineStr">
        <is>
          <t>316426</t>
        </is>
      </c>
      <c r="B298" s="2" t="inlineStr">
        <is>
          <t>3934112</t>
        </is>
      </c>
      <c r="C298" s="2" t="inlineStr">
        <is>
          <t>레져</t>
        </is>
      </c>
      <c r="D298" s="2" t="inlineStr">
        <is>
          <t>액티비티</t>
        </is>
      </c>
      <c r="E298" s="2" t="inlineStr">
        <is>
          <t>철원</t>
        </is>
      </c>
      <c r="F298" s="2" t="inlineStr">
        <is>
          <t>한레저</t>
        </is>
      </c>
      <c r="G298" s="2" t="inlineStr">
        <is>
          <t>산악바이크 체험권 한레저(~9/30)</t>
        </is>
      </c>
      <c r="H298" s="2" t="inlineStr">
        <is>
          <t>대소공통</t>
        </is>
      </c>
      <c r="I298" s="2" t="inlineStr">
        <is>
          <t>주중+주말</t>
        </is>
      </c>
      <c r="J298" s="2" t="inlineStr">
        <is>
          <t>종일</t>
        </is>
      </c>
      <c r="K298" s="2" t="n">
        <v>36000</v>
      </c>
      <c r="L298" s="2" t="n">
        <v>28000</v>
      </c>
      <c r="M298" s="2" t="n">
        <v>22</v>
      </c>
      <c r="N298" s="2" t="n">
        <v>22.2</v>
      </c>
      <c r="O298" s="2" t="inlineStr">
        <is>
          <t>1</t>
        </is>
      </c>
      <c r="P298" s="2" t="inlineStr">
        <is>
          <t>구매일</t>
        </is>
      </c>
      <c r="Q298" s="2" t="inlineStr">
        <is>
          <t>0</t>
        </is>
      </c>
      <c r="R298" s="2" t="inlineStr">
        <is>
          <t>날짜지정</t>
        </is>
      </c>
      <c r="S298" s="2" t="inlineStr">
        <is>
          <t>2026-09-30</t>
        </is>
      </c>
      <c r="T298" s="2" t="b">
        <v>0</v>
      </c>
    </row>
    <row r="299">
      <c r="A299" s="2" t="inlineStr">
        <is>
          <t>274453</t>
        </is>
      </c>
      <c r="B299" s="2" t="inlineStr">
        <is>
          <t>3016188</t>
        </is>
      </c>
      <c r="C299" s="2" t="inlineStr">
        <is>
          <t>레져</t>
        </is>
      </c>
      <c r="D299" s="2" t="inlineStr">
        <is>
          <t>액티비티</t>
        </is>
      </c>
      <c r="E299" s="2" t="inlineStr">
        <is>
          <t>제주</t>
        </is>
      </c>
      <c r="F299" s="2" t="inlineStr">
        <is>
          <t>제주레일바이크</t>
        </is>
      </c>
      <c r="G299" s="2" t="inlineStr">
        <is>
          <t>2인 이용권 제주레일바이크</t>
        </is>
      </c>
      <c r="H299" s="2" t="inlineStr">
        <is>
          <t>대소공통</t>
        </is>
      </c>
      <c r="I299" s="2" t="inlineStr">
        <is>
          <t>주중+주말</t>
        </is>
      </c>
      <c r="J299" s="2" t="inlineStr">
        <is>
          <t>종일</t>
        </is>
      </c>
      <c r="K299" s="2" t="n">
        <v>30000</v>
      </c>
      <c r="L299" s="2" t="n">
        <v>21700</v>
      </c>
      <c r="M299" s="2" t="n">
        <v>28</v>
      </c>
      <c r="N299" s="2" t="n">
        <v>27.7</v>
      </c>
      <c r="O299" s="2" t="inlineStr">
        <is>
          <t>1</t>
        </is>
      </c>
      <c r="P299" s="2" t="inlineStr">
        <is>
          <t>구매일</t>
        </is>
      </c>
      <c r="Q299" s="2" t="inlineStr">
        <is>
          <t>0</t>
        </is>
      </c>
      <c r="R299" s="2" t="inlineStr">
        <is>
          <t>구매일</t>
        </is>
      </c>
      <c r="S299" s="2" t="inlineStr">
        <is>
          <t>60</t>
        </is>
      </c>
      <c r="T299" s="2" t="b">
        <v>1</v>
      </c>
    </row>
    <row r="300">
      <c r="A300" s="2" t="inlineStr">
        <is>
          <t>274453</t>
        </is>
      </c>
      <c r="B300" s="2" t="inlineStr">
        <is>
          <t>3016189</t>
        </is>
      </c>
      <c r="C300" s="2" t="inlineStr">
        <is>
          <t>레져</t>
        </is>
      </c>
      <c r="D300" s="2" t="inlineStr">
        <is>
          <t>액티비티</t>
        </is>
      </c>
      <c r="E300" s="2" t="inlineStr">
        <is>
          <t>제주</t>
        </is>
      </c>
      <c r="F300" s="2" t="inlineStr">
        <is>
          <t>제주레일바이크</t>
        </is>
      </c>
      <c r="G300" s="2" t="inlineStr">
        <is>
          <t>3인 이용권 제주레일바이크</t>
        </is>
      </c>
      <c r="H300" s="2" t="inlineStr">
        <is>
          <t>대소공통</t>
        </is>
      </c>
      <c r="I300" s="2" t="inlineStr">
        <is>
          <t>주중+주말</t>
        </is>
      </c>
      <c r="J300" s="2" t="inlineStr">
        <is>
          <t>종일</t>
        </is>
      </c>
      <c r="K300" s="2" t="n">
        <v>40000</v>
      </c>
      <c r="L300" s="2" t="n">
        <v>31800</v>
      </c>
      <c r="M300" s="2" t="n">
        <v>21</v>
      </c>
      <c r="N300" s="2" t="n">
        <v>20.5</v>
      </c>
      <c r="O300" s="2" t="inlineStr">
        <is>
          <t>1</t>
        </is>
      </c>
      <c r="P300" s="2" t="inlineStr">
        <is>
          <t>구매일</t>
        </is>
      </c>
      <c r="Q300" s="2" t="inlineStr">
        <is>
          <t>0</t>
        </is>
      </c>
      <c r="R300" s="2" t="inlineStr">
        <is>
          <t>구매일</t>
        </is>
      </c>
      <c r="S300" s="2" t="inlineStr">
        <is>
          <t>60</t>
        </is>
      </c>
      <c r="T300" s="2" t="b">
        <v>0</v>
      </c>
    </row>
    <row r="301">
      <c r="A301" s="2" t="inlineStr">
        <is>
          <t>274453</t>
        </is>
      </c>
      <c r="B301" s="2" t="inlineStr">
        <is>
          <t>3016190</t>
        </is>
      </c>
      <c r="C301" s="2" t="inlineStr">
        <is>
          <t>레져</t>
        </is>
      </c>
      <c r="D301" s="2" t="inlineStr">
        <is>
          <t>액티비티</t>
        </is>
      </c>
      <c r="E301" s="2" t="inlineStr">
        <is>
          <t>제주</t>
        </is>
      </c>
      <c r="F301" s="2" t="inlineStr">
        <is>
          <t>제주레일바이크</t>
        </is>
      </c>
      <c r="G301" s="2" t="inlineStr">
        <is>
          <t>4인 이용권 제주레일바이크</t>
        </is>
      </c>
      <c r="H301" s="2" t="inlineStr">
        <is>
          <t>대소공통</t>
        </is>
      </c>
      <c r="I301" s="2" t="inlineStr">
        <is>
          <t>주중+주말</t>
        </is>
      </c>
      <c r="J301" s="2" t="inlineStr">
        <is>
          <t>종일</t>
        </is>
      </c>
      <c r="K301" s="2" t="n">
        <v>48000</v>
      </c>
      <c r="L301" s="2" t="n">
        <v>42000</v>
      </c>
      <c r="M301" s="2" t="n">
        <v>13</v>
      </c>
      <c r="N301" s="2" t="n">
        <v>12.5</v>
      </c>
      <c r="O301" s="2" t="inlineStr">
        <is>
          <t>1</t>
        </is>
      </c>
      <c r="P301" s="2" t="inlineStr">
        <is>
          <t>구매일</t>
        </is>
      </c>
      <c r="Q301" s="2" t="inlineStr">
        <is>
          <t>0</t>
        </is>
      </c>
      <c r="R301" s="2" t="inlineStr">
        <is>
          <t>구매일</t>
        </is>
      </c>
      <c r="S301" s="2" t="inlineStr">
        <is>
          <t>60</t>
        </is>
      </c>
      <c r="T301" s="2" t="b">
        <v>0</v>
      </c>
    </row>
    <row r="302">
      <c r="A302" s="2" t="inlineStr">
        <is>
          <t>225256</t>
        </is>
      </c>
      <c r="B302" s="2" t="inlineStr">
        <is>
          <t>1794683</t>
        </is>
      </c>
      <c r="C302" s="2" t="inlineStr">
        <is>
          <t>헬스&amp;푸드</t>
        </is>
      </c>
      <c r="D302" s="2" t="inlineStr">
        <is>
          <t>푸드</t>
        </is>
      </c>
      <c r="E302" s="2" t="inlineStr">
        <is>
          <t>서울</t>
        </is>
      </c>
      <c r="F302" s="2" t="inlineStr">
        <is>
          <t>노량진 충남상회 모듬회</t>
        </is>
      </c>
      <c r="G302" s="2" t="inlineStr">
        <is>
          <t>모듬회 소(2인) 충남상회(* 전화예약 및 직접결제)</t>
        </is>
      </c>
      <c r="H302" s="2" t="inlineStr"/>
      <c r="I302" s="2" t="inlineStr"/>
      <c r="J302" s="2" t="inlineStr"/>
      <c r="K302" s="2" t="n">
        <v>0</v>
      </c>
      <c r="L302" s="2" t="n">
        <v>60000</v>
      </c>
      <c r="M302" s="2" t="n">
        <v>0</v>
      </c>
      <c r="N302" s="2" t="n"/>
      <c r="O302" s="2" t="inlineStr">
        <is>
          <t>1</t>
        </is>
      </c>
      <c r="P302" s="2" t="inlineStr">
        <is>
          <t>구매일</t>
        </is>
      </c>
      <c r="Q302" s="2" t="inlineStr">
        <is>
          <t>0</t>
        </is>
      </c>
      <c r="R302" s="2" t="inlineStr">
        <is>
          <t>구매일</t>
        </is>
      </c>
      <c r="S302" s="2" t="inlineStr">
        <is>
          <t>0</t>
        </is>
      </c>
      <c r="T302" s="2" t="b">
        <v>1</v>
      </c>
    </row>
    <row r="303">
      <c r="A303" s="2" t="inlineStr">
        <is>
          <t>225256</t>
        </is>
      </c>
      <c r="B303" s="2" t="inlineStr">
        <is>
          <t>1794686</t>
        </is>
      </c>
      <c r="C303" s="2" t="inlineStr">
        <is>
          <t>헬스&amp;푸드</t>
        </is>
      </c>
      <c r="D303" s="2" t="inlineStr">
        <is>
          <t>푸드</t>
        </is>
      </c>
      <c r="E303" s="2" t="inlineStr">
        <is>
          <t>서울</t>
        </is>
      </c>
      <c r="F303" s="2" t="inlineStr">
        <is>
          <t>노량진 충남상회 모듬회</t>
        </is>
      </c>
      <c r="G303" s="2" t="inlineStr">
        <is>
          <t>방어회 소(2인) 충남상회(* 전화예약 및 직접결제)</t>
        </is>
      </c>
      <c r="H303" s="2" t="inlineStr"/>
      <c r="I303" s="2" t="inlineStr"/>
      <c r="J303" s="2" t="inlineStr"/>
      <c r="K303" s="2" t="n">
        <v>0</v>
      </c>
      <c r="L303" s="2" t="n">
        <v>60000</v>
      </c>
      <c r="M303" s="2" t="n">
        <v>0</v>
      </c>
      <c r="N303" s="2" t="n"/>
      <c r="O303" s="2" t="inlineStr">
        <is>
          <t>1</t>
        </is>
      </c>
      <c r="P303" s="2" t="inlineStr">
        <is>
          <t>구매일</t>
        </is>
      </c>
      <c r="Q303" s="2" t="inlineStr">
        <is>
          <t>0</t>
        </is>
      </c>
      <c r="R303" s="2" t="inlineStr">
        <is>
          <t>구매일</t>
        </is>
      </c>
      <c r="S303" s="2" t="inlineStr">
        <is>
          <t>0</t>
        </is>
      </c>
      <c r="T303" s="2" t="b">
        <v>0</v>
      </c>
    </row>
    <row r="304">
      <c r="A304" s="2" t="inlineStr">
        <is>
          <t>225256</t>
        </is>
      </c>
      <c r="B304" s="2" t="inlineStr">
        <is>
          <t>1794684</t>
        </is>
      </c>
      <c r="C304" s="2" t="inlineStr">
        <is>
          <t>헬스&amp;푸드</t>
        </is>
      </c>
      <c r="D304" s="2" t="inlineStr">
        <is>
          <t>푸드</t>
        </is>
      </c>
      <c r="E304" s="2" t="inlineStr">
        <is>
          <t>서울</t>
        </is>
      </c>
      <c r="F304" s="2" t="inlineStr">
        <is>
          <t>노량진 충남상회 모듬회</t>
        </is>
      </c>
      <c r="G304" s="2" t="inlineStr">
        <is>
          <t>모듬회 중(2~3인) 충남상회(* 전화예약 및 직접결제)</t>
        </is>
      </c>
      <c r="H304" s="2" t="inlineStr"/>
      <c r="I304" s="2" t="inlineStr"/>
      <c r="J304" s="2" t="inlineStr"/>
      <c r="K304" s="2" t="n">
        <v>0</v>
      </c>
      <c r="L304" s="2" t="n">
        <v>80000</v>
      </c>
      <c r="M304" s="2" t="n">
        <v>0</v>
      </c>
      <c r="N304" s="2" t="n"/>
      <c r="O304" s="2" t="inlineStr">
        <is>
          <t>1</t>
        </is>
      </c>
      <c r="P304" s="2" t="inlineStr">
        <is>
          <t>구매일</t>
        </is>
      </c>
      <c r="Q304" s="2" t="inlineStr">
        <is>
          <t>0</t>
        </is>
      </c>
      <c r="R304" s="2" t="inlineStr">
        <is>
          <t>구매일</t>
        </is>
      </c>
      <c r="S304" s="2" t="inlineStr">
        <is>
          <t>0</t>
        </is>
      </c>
      <c r="T304" s="2" t="b">
        <v>0</v>
      </c>
    </row>
    <row r="305">
      <c r="A305" s="2" t="inlineStr">
        <is>
          <t>225256</t>
        </is>
      </c>
      <c r="B305" s="2" t="inlineStr">
        <is>
          <t>1794687</t>
        </is>
      </c>
      <c r="C305" s="2" t="inlineStr">
        <is>
          <t>헬스&amp;푸드</t>
        </is>
      </c>
      <c r="D305" s="2" t="inlineStr">
        <is>
          <t>푸드</t>
        </is>
      </c>
      <c r="E305" s="2" t="inlineStr">
        <is>
          <t>서울</t>
        </is>
      </c>
      <c r="F305" s="2" t="inlineStr">
        <is>
          <t>노량진 충남상회 모듬회</t>
        </is>
      </c>
      <c r="G305" s="2" t="inlineStr">
        <is>
          <t>방어회 중(2~3인) 충남상회(* 전화예약 및 직접결제)</t>
        </is>
      </c>
      <c r="H305" s="2" t="inlineStr"/>
      <c r="I305" s="2" t="inlineStr"/>
      <c r="J305" s="2" t="inlineStr"/>
      <c r="K305" s="2" t="n">
        <v>0</v>
      </c>
      <c r="L305" s="2" t="n">
        <v>80000</v>
      </c>
      <c r="M305" s="2" t="n">
        <v>0</v>
      </c>
      <c r="N305" s="2" t="n"/>
      <c r="O305" s="2" t="inlineStr">
        <is>
          <t>1</t>
        </is>
      </c>
      <c r="P305" s="2" t="inlineStr">
        <is>
          <t>구매일</t>
        </is>
      </c>
      <c r="Q305" s="2" t="inlineStr">
        <is>
          <t>0</t>
        </is>
      </c>
      <c r="R305" s="2" t="inlineStr">
        <is>
          <t>구매일</t>
        </is>
      </c>
      <c r="S305" s="2" t="inlineStr">
        <is>
          <t>0</t>
        </is>
      </c>
      <c r="T305" s="2" t="b">
        <v>0</v>
      </c>
    </row>
    <row r="306">
      <c r="A306" s="2" t="inlineStr">
        <is>
          <t>225256</t>
        </is>
      </c>
      <c r="B306" s="2" t="inlineStr">
        <is>
          <t>1794685</t>
        </is>
      </c>
      <c r="C306" s="2" t="inlineStr">
        <is>
          <t>헬스&amp;푸드</t>
        </is>
      </c>
      <c r="D306" s="2" t="inlineStr">
        <is>
          <t>푸드</t>
        </is>
      </c>
      <c r="E306" s="2" t="inlineStr">
        <is>
          <t>서울</t>
        </is>
      </c>
      <c r="F306" s="2" t="inlineStr">
        <is>
          <t>노량진 충남상회 모듬회</t>
        </is>
      </c>
      <c r="G306" s="2" t="inlineStr">
        <is>
          <t>모듬회 대(3~4인) 충남상회(* 전화예약 및 직접결제)</t>
        </is>
      </c>
      <c r="H306" s="2" t="inlineStr"/>
      <c r="I306" s="2" t="inlineStr"/>
      <c r="J306" s="2" t="inlineStr"/>
      <c r="K306" s="2" t="n">
        <v>0</v>
      </c>
      <c r="L306" s="2" t="n">
        <v>100000</v>
      </c>
      <c r="M306" s="2" t="n">
        <v>0</v>
      </c>
      <c r="N306" s="2" t="n"/>
      <c r="O306" s="2" t="inlineStr">
        <is>
          <t>1</t>
        </is>
      </c>
      <c r="P306" s="2" t="inlineStr">
        <is>
          <t>구매일</t>
        </is>
      </c>
      <c r="Q306" s="2" t="inlineStr">
        <is>
          <t>0</t>
        </is>
      </c>
      <c r="R306" s="2" t="inlineStr">
        <is>
          <t>구매일</t>
        </is>
      </c>
      <c r="S306" s="2" t="inlineStr">
        <is>
          <t>0</t>
        </is>
      </c>
      <c r="T306" s="2" t="b">
        <v>0</v>
      </c>
    </row>
    <row r="307">
      <c r="A307" s="2" t="inlineStr">
        <is>
          <t>225256</t>
        </is>
      </c>
      <c r="B307" s="2" t="inlineStr">
        <is>
          <t>1794688</t>
        </is>
      </c>
      <c r="C307" s="2" t="inlineStr">
        <is>
          <t>헬스&amp;푸드</t>
        </is>
      </c>
      <c r="D307" s="2" t="inlineStr">
        <is>
          <t>푸드</t>
        </is>
      </c>
      <c r="E307" s="2" t="inlineStr">
        <is>
          <t>서울</t>
        </is>
      </c>
      <c r="F307" s="2" t="inlineStr">
        <is>
          <t>노량진 충남상회 모듬회</t>
        </is>
      </c>
      <c r="G307" s="2" t="inlineStr">
        <is>
          <t>방어회 대(3~4인) 충남상회(* 전화예약 및 직접결제)</t>
        </is>
      </c>
      <c r="H307" s="2" t="inlineStr"/>
      <c r="I307" s="2" t="inlineStr"/>
      <c r="J307" s="2" t="inlineStr"/>
      <c r="K307" s="2" t="n">
        <v>0</v>
      </c>
      <c r="L307" s="2" t="n">
        <v>100000</v>
      </c>
      <c r="M307" s="2" t="n">
        <v>0</v>
      </c>
      <c r="N307" s="2" t="n"/>
      <c r="O307" s="2" t="inlineStr">
        <is>
          <t>1</t>
        </is>
      </c>
      <c r="P307" s="2" t="inlineStr">
        <is>
          <t>구매일</t>
        </is>
      </c>
      <c r="Q307" s="2" t="inlineStr">
        <is>
          <t>0</t>
        </is>
      </c>
      <c r="R307" s="2" t="inlineStr">
        <is>
          <t>구매일</t>
        </is>
      </c>
      <c r="S307" s="2" t="inlineStr">
        <is>
          <t>0</t>
        </is>
      </c>
      <c r="T307" s="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상품 수</t>
        </is>
      </c>
      <c r="D1" s="1" t="inlineStr">
        <is>
          <t>가격대상 수</t>
        </is>
      </c>
      <c r="E1" s="1" t="inlineStr">
        <is>
          <t>할인율 평균(%)</t>
        </is>
      </c>
      <c r="F1" s="1" t="inlineStr">
        <is>
          <t>할인율 중간값(%)</t>
        </is>
      </c>
      <c r="G1" s="1" t="inlineStr">
        <is>
          <t>할인율 최소(%)</t>
        </is>
      </c>
      <c r="H1" s="1" t="inlineStr">
        <is>
          <t>할인율 최대(%)</t>
        </is>
      </c>
      <c r="I1" s="1" t="inlineStr">
        <is>
          <t>평균 판매가(원)</t>
        </is>
      </c>
      <c r="J1" s="1" t="inlineStr">
        <is>
          <t>0-9%</t>
        </is>
      </c>
      <c r="K1" s="1" t="inlineStr">
        <is>
          <t>10-19%</t>
        </is>
      </c>
      <c r="L1" s="1" t="inlineStr">
        <is>
          <t>20-29%</t>
        </is>
      </c>
      <c r="M1" s="1" t="inlineStr">
        <is>
          <t>30-39%</t>
        </is>
      </c>
      <c r="N1" s="1" t="inlineStr">
        <is>
          <t>40-49%</t>
        </is>
      </c>
      <c r="O1" s="1" t="inlineStr">
        <is>
          <t>50%+</t>
        </is>
      </c>
    </row>
    <row r="2">
      <c r="A2" s="2" t="inlineStr">
        <is>
          <t>공연</t>
        </is>
      </c>
      <c r="B2" s="2" t="inlineStr">
        <is>
          <t>뮤지컬</t>
        </is>
      </c>
      <c r="C2" s="2">
        <f>COUNTIFS(상품목록!$B$2:$B$101,A2,상품목록!$C$2:$C$101,B2)</f>
        <v/>
      </c>
      <c r="D2" s="2">
        <f>COUNTIFS(상품목록!$B$2:$B$101,A2,상품목록!$C$2:$C$101,B2,상품목록!$AC$2:$AC$101,"Y")</f>
        <v/>
      </c>
      <c r="E2" s="2">
        <f>IFERROR(ROUND(AVERAGEIFS(상품목록!$K$2:$K$101,상품목록!$B$2:$B$101,A2,상품목록!$C$2:$C$101,B2,상품목록!$AC$2:$AC$101,"Y"),1),"-")</f>
        <v/>
      </c>
      <c r="F2" s="2">
        <f t="array" ref="F2">IFERROR(MEDIAN(IF((상품목록!$B$2:$B$101=A2)*(상품목록!$C$2:$C$101=B2)*(상품목록!$AC$2:$AC$101="Y"),상품목록!$K$2:$K$101)),"-")</f>
        <v/>
      </c>
      <c r="G2" s="2">
        <f>IFERROR(_xlfn.MINIFS(상품목록!$K$2:$K$101,상품목록!$B$2:$B$101,A2,상품목록!$C$2:$C$101,B2,상품목록!$AC$2:$AC$101,"Y"),"-")</f>
        <v/>
      </c>
      <c r="H2" s="2">
        <f>IFERROR(_xlfn.MAXIFS(상품목록!$K$2:$K$101,상품목록!$B$2:$B$101,A2,상품목록!$C$2:$C$101,B2,상품목록!$AC$2:$AC$101,"Y"),"-")</f>
        <v/>
      </c>
      <c r="I2" s="2">
        <f>IFERROR(ROUND(AVERAGEIFS(상품목록!$J$2:$J$101,상품목록!$B$2:$B$101,A2,상품목록!$C$2:$C$101,B2,상품목록!$AC$2:$AC$101,"Y"),0),"-")</f>
        <v/>
      </c>
      <c r="J2" s="2">
        <f>COUNTIFS(상품목록!$B$2:$B$101,A2,상품목록!$C$2:$C$101,B2,상품목록!$AC$2:$AC$101,"Y",상품목록!$K$2:$K$101,"&gt;=0",상품목록!$K$2:$K$101,"&lt;=9")</f>
        <v/>
      </c>
      <c r="K2" s="2">
        <f>COUNTIFS(상품목록!$B$2:$B$101,A2,상품목록!$C$2:$C$101,B2,상품목록!$AC$2:$AC$101,"Y",상품목록!$K$2:$K$101,"&gt;=10",상품목록!$K$2:$K$101,"&lt;=19")</f>
        <v/>
      </c>
      <c r="L2" s="2">
        <f>COUNTIFS(상품목록!$B$2:$B$101,A2,상품목록!$C$2:$C$101,B2,상품목록!$AC$2:$AC$101,"Y",상품목록!$K$2:$K$101,"&gt;=20",상품목록!$K$2:$K$101,"&lt;=29")</f>
        <v/>
      </c>
      <c r="M2" s="2">
        <f>COUNTIFS(상품목록!$B$2:$B$101,A2,상품목록!$C$2:$C$101,B2,상품목록!$AC$2:$AC$101,"Y",상품목록!$K$2:$K$101,"&gt;=30",상품목록!$K$2:$K$101,"&lt;=39")</f>
        <v/>
      </c>
      <c r="N2" s="2">
        <f>COUNTIFS(상품목록!$B$2:$B$101,A2,상품목록!$C$2:$C$101,B2,상품목록!$AC$2:$AC$101,"Y",상품목록!$K$2:$K$101,"&gt;=40",상품목록!$K$2:$K$101,"&lt;=49")</f>
        <v/>
      </c>
      <c r="O2" s="2">
        <f>COUNTIFS(상품목록!$B$2:$B$101,A2,상품목록!$C$2:$C$101,B2,상품목록!$AC$2:$AC$101,"Y",상품목록!$K$2:$K$101,"&gt;=50",상품목록!$K$2:$K$101,"&lt;=1000")</f>
        <v/>
      </c>
    </row>
    <row r="3">
      <c r="A3" s="2" t="inlineStr">
        <is>
          <t>공연</t>
        </is>
      </c>
      <c r="B3" s="2" t="inlineStr">
        <is>
          <t>연극</t>
        </is>
      </c>
      <c r="C3" s="2">
        <f>COUNTIFS(상품목록!$B$2:$B$101,A3,상품목록!$C$2:$C$101,B3)</f>
        <v/>
      </c>
      <c r="D3" s="2">
        <f>COUNTIFS(상품목록!$B$2:$B$101,A3,상품목록!$C$2:$C$101,B3,상품목록!$AC$2:$AC$101,"Y")</f>
        <v/>
      </c>
      <c r="E3" s="2">
        <f>IFERROR(ROUND(AVERAGEIFS(상품목록!$K$2:$K$101,상품목록!$B$2:$B$101,A3,상품목록!$C$2:$C$101,B3,상품목록!$AC$2:$AC$101,"Y"),1),"-")</f>
        <v/>
      </c>
      <c r="F3" s="2">
        <f t="array" ref="F3">IFERROR(MEDIAN(IF((상품목록!$B$2:$B$101=A3)*(상품목록!$C$2:$C$101=B3)*(상품목록!$AC$2:$AC$101="Y"),상품목록!$K$2:$K$101)),"-")</f>
        <v/>
      </c>
      <c r="G3" s="2">
        <f>IFERROR(_xlfn.MINIFS(상품목록!$K$2:$K$101,상품목록!$B$2:$B$101,A3,상품목록!$C$2:$C$101,B3,상품목록!$AC$2:$AC$101,"Y"),"-")</f>
        <v/>
      </c>
      <c r="H3" s="2">
        <f>IFERROR(_xlfn.MAXIFS(상품목록!$K$2:$K$101,상품목록!$B$2:$B$101,A3,상품목록!$C$2:$C$101,B3,상품목록!$AC$2:$AC$101,"Y"),"-")</f>
        <v/>
      </c>
      <c r="I3" s="2">
        <f>IFERROR(ROUND(AVERAGEIFS(상품목록!$J$2:$J$101,상품목록!$B$2:$B$101,A3,상품목록!$C$2:$C$101,B3,상품목록!$AC$2:$AC$101,"Y"),0),"-")</f>
        <v/>
      </c>
      <c r="J3" s="2">
        <f>COUNTIFS(상품목록!$B$2:$B$101,A3,상품목록!$C$2:$C$101,B3,상품목록!$AC$2:$AC$101,"Y",상품목록!$K$2:$K$101,"&gt;=0",상품목록!$K$2:$K$101,"&lt;=9")</f>
        <v/>
      </c>
      <c r="K3" s="2">
        <f>COUNTIFS(상품목록!$B$2:$B$101,A3,상품목록!$C$2:$C$101,B3,상품목록!$AC$2:$AC$101,"Y",상품목록!$K$2:$K$101,"&gt;=10",상품목록!$K$2:$K$101,"&lt;=19")</f>
        <v/>
      </c>
      <c r="L3" s="2">
        <f>COUNTIFS(상품목록!$B$2:$B$101,A3,상품목록!$C$2:$C$101,B3,상품목록!$AC$2:$AC$101,"Y",상품목록!$K$2:$K$101,"&gt;=20",상품목록!$K$2:$K$101,"&lt;=29")</f>
        <v/>
      </c>
      <c r="M3" s="2">
        <f>COUNTIFS(상품목록!$B$2:$B$101,A3,상품목록!$C$2:$C$101,B3,상품목록!$AC$2:$AC$101,"Y",상품목록!$K$2:$K$101,"&gt;=30",상품목록!$K$2:$K$101,"&lt;=39")</f>
        <v/>
      </c>
      <c r="N3" s="2">
        <f>COUNTIFS(상품목록!$B$2:$B$101,A3,상품목록!$C$2:$C$101,B3,상품목록!$AC$2:$AC$101,"Y",상품목록!$K$2:$K$101,"&gt;=40",상품목록!$K$2:$K$101,"&lt;=49")</f>
        <v/>
      </c>
      <c r="O3" s="2">
        <f>COUNTIFS(상품목록!$B$2:$B$101,A3,상품목록!$C$2:$C$101,B3,상품목록!$AC$2:$AC$101,"Y",상품목록!$K$2:$K$101,"&gt;=50",상품목록!$K$2:$K$101,"&lt;=1000")</f>
        <v/>
      </c>
    </row>
    <row r="4">
      <c r="A4" s="2" t="inlineStr">
        <is>
          <t>공연</t>
        </is>
      </c>
      <c r="B4" s="2" t="inlineStr">
        <is>
          <t>콘서트</t>
        </is>
      </c>
      <c r="C4" s="2">
        <f>COUNTIFS(상품목록!$B$2:$B$101,A4,상품목록!$C$2:$C$101,B4)</f>
        <v/>
      </c>
      <c r="D4" s="2">
        <f>COUNTIFS(상품목록!$B$2:$B$101,A4,상품목록!$C$2:$C$101,B4,상품목록!$AC$2:$AC$101,"Y")</f>
        <v/>
      </c>
      <c r="E4" s="2">
        <f>IFERROR(ROUND(AVERAGEIFS(상품목록!$K$2:$K$101,상품목록!$B$2:$B$101,A4,상품목록!$C$2:$C$101,B4,상품목록!$AC$2:$AC$101,"Y"),1),"-")</f>
        <v/>
      </c>
      <c r="F4" s="2">
        <f t="array" ref="F4">IFERROR(MEDIAN(IF((상품목록!$B$2:$B$101=A4)*(상품목록!$C$2:$C$101=B4)*(상품목록!$AC$2:$AC$101="Y"),상품목록!$K$2:$K$101)),"-")</f>
        <v/>
      </c>
      <c r="G4" s="2">
        <f>IFERROR(_xlfn.MINIFS(상품목록!$K$2:$K$101,상품목록!$B$2:$B$101,A4,상품목록!$C$2:$C$101,B4,상품목록!$AC$2:$AC$101,"Y"),"-")</f>
        <v/>
      </c>
      <c r="H4" s="2">
        <f>IFERROR(_xlfn.MAXIFS(상품목록!$K$2:$K$101,상품목록!$B$2:$B$101,A4,상품목록!$C$2:$C$101,B4,상품목록!$AC$2:$AC$101,"Y"),"-")</f>
        <v/>
      </c>
      <c r="I4" s="2">
        <f>IFERROR(ROUND(AVERAGEIFS(상품목록!$J$2:$J$101,상품목록!$B$2:$B$101,A4,상품목록!$C$2:$C$101,B4,상품목록!$AC$2:$AC$101,"Y"),0),"-")</f>
        <v/>
      </c>
      <c r="J4" s="2">
        <f>COUNTIFS(상품목록!$B$2:$B$101,A4,상품목록!$C$2:$C$101,B4,상품목록!$AC$2:$AC$101,"Y",상품목록!$K$2:$K$101,"&gt;=0",상품목록!$K$2:$K$101,"&lt;=9")</f>
        <v/>
      </c>
      <c r="K4" s="2">
        <f>COUNTIFS(상품목록!$B$2:$B$101,A4,상품목록!$C$2:$C$101,B4,상품목록!$AC$2:$AC$101,"Y",상품목록!$K$2:$K$101,"&gt;=10",상품목록!$K$2:$K$101,"&lt;=19")</f>
        <v/>
      </c>
      <c r="L4" s="2">
        <f>COUNTIFS(상품목록!$B$2:$B$101,A4,상품목록!$C$2:$C$101,B4,상품목록!$AC$2:$AC$101,"Y",상품목록!$K$2:$K$101,"&gt;=20",상품목록!$K$2:$K$101,"&lt;=29")</f>
        <v/>
      </c>
      <c r="M4" s="2">
        <f>COUNTIFS(상품목록!$B$2:$B$101,A4,상품목록!$C$2:$C$101,B4,상품목록!$AC$2:$AC$101,"Y",상품목록!$K$2:$K$101,"&gt;=30",상품목록!$K$2:$K$101,"&lt;=39")</f>
        <v/>
      </c>
      <c r="N4" s="2">
        <f>COUNTIFS(상품목록!$B$2:$B$101,A4,상품목록!$C$2:$C$101,B4,상품목록!$AC$2:$AC$101,"Y",상품목록!$K$2:$K$101,"&gt;=40",상품목록!$K$2:$K$101,"&lt;=49")</f>
        <v/>
      </c>
      <c r="O4" s="2">
        <f>COUNTIFS(상품목록!$B$2:$B$101,A4,상품목록!$C$2:$C$101,B4,상품목록!$AC$2:$AC$101,"Y",상품목록!$K$2:$K$101,"&gt;=50",상품목록!$K$2:$K$101,"&lt;=1000")</f>
        <v/>
      </c>
    </row>
    <row r="5">
      <c r="A5" s="2" t="inlineStr">
        <is>
          <t>레져</t>
        </is>
      </c>
      <c r="B5" s="2" t="inlineStr">
        <is>
          <t>액티비티</t>
        </is>
      </c>
      <c r="C5" s="2">
        <f>COUNTIFS(상품목록!$B$2:$B$101,A5,상품목록!$C$2:$C$101,B5)</f>
        <v/>
      </c>
      <c r="D5" s="2">
        <f>COUNTIFS(상품목록!$B$2:$B$101,A5,상품목록!$C$2:$C$101,B5,상품목록!$AC$2:$AC$101,"Y")</f>
        <v/>
      </c>
      <c r="E5" s="2">
        <f>IFERROR(ROUND(AVERAGEIFS(상품목록!$K$2:$K$101,상품목록!$B$2:$B$101,A5,상품목록!$C$2:$C$101,B5,상품목록!$AC$2:$AC$101,"Y"),1),"-")</f>
        <v/>
      </c>
      <c r="F5" s="2">
        <f t="array" ref="F5">IFERROR(MEDIAN(IF((상품목록!$B$2:$B$101=A5)*(상품목록!$C$2:$C$101=B5)*(상품목록!$AC$2:$AC$101="Y"),상품목록!$K$2:$K$101)),"-")</f>
        <v/>
      </c>
      <c r="G5" s="2">
        <f>IFERROR(_xlfn.MINIFS(상품목록!$K$2:$K$101,상품목록!$B$2:$B$101,A5,상품목록!$C$2:$C$101,B5,상품목록!$AC$2:$AC$101,"Y"),"-")</f>
        <v/>
      </c>
      <c r="H5" s="2">
        <f>IFERROR(_xlfn.MAXIFS(상품목록!$K$2:$K$101,상품목록!$B$2:$B$101,A5,상품목록!$C$2:$C$101,B5,상품목록!$AC$2:$AC$101,"Y"),"-")</f>
        <v/>
      </c>
      <c r="I5" s="2">
        <f>IFERROR(ROUND(AVERAGEIFS(상품목록!$J$2:$J$101,상품목록!$B$2:$B$101,A5,상품목록!$C$2:$C$101,B5,상품목록!$AC$2:$AC$101,"Y"),0),"-")</f>
        <v/>
      </c>
      <c r="J5" s="2">
        <f>COUNTIFS(상품목록!$B$2:$B$101,A5,상품목록!$C$2:$C$101,B5,상품목록!$AC$2:$AC$101,"Y",상품목록!$K$2:$K$101,"&gt;=0",상품목록!$K$2:$K$101,"&lt;=9")</f>
        <v/>
      </c>
      <c r="K5" s="2">
        <f>COUNTIFS(상품목록!$B$2:$B$101,A5,상품목록!$C$2:$C$101,B5,상품목록!$AC$2:$AC$101,"Y",상품목록!$K$2:$K$101,"&gt;=10",상품목록!$K$2:$K$101,"&lt;=19")</f>
        <v/>
      </c>
      <c r="L5" s="2">
        <f>COUNTIFS(상품목록!$B$2:$B$101,A5,상품목록!$C$2:$C$101,B5,상품목록!$AC$2:$AC$101,"Y",상품목록!$K$2:$K$101,"&gt;=20",상품목록!$K$2:$K$101,"&lt;=29")</f>
        <v/>
      </c>
      <c r="M5" s="2">
        <f>COUNTIFS(상품목록!$B$2:$B$101,A5,상품목록!$C$2:$C$101,B5,상품목록!$AC$2:$AC$101,"Y",상품목록!$K$2:$K$101,"&gt;=30",상품목록!$K$2:$K$101,"&lt;=39")</f>
        <v/>
      </c>
      <c r="N5" s="2">
        <f>COUNTIFS(상품목록!$B$2:$B$101,A5,상품목록!$C$2:$C$101,B5,상품목록!$AC$2:$AC$101,"Y",상품목록!$K$2:$K$101,"&gt;=40",상품목록!$K$2:$K$101,"&lt;=49")</f>
        <v/>
      </c>
      <c r="O5" s="2">
        <f>COUNTIFS(상품목록!$B$2:$B$101,A5,상품목록!$C$2:$C$101,B5,상품목록!$AC$2:$AC$101,"Y",상품목록!$K$2:$K$101,"&gt;=50",상품목록!$K$2:$K$101,"&lt;=1000")</f>
        <v/>
      </c>
    </row>
    <row r="6">
      <c r="A6" s="2" t="inlineStr">
        <is>
          <t>레져</t>
        </is>
      </c>
      <c r="B6" s="2" t="inlineStr">
        <is>
          <t>크루즈</t>
        </is>
      </c>
      <c r="C6" s="2">
        <f>COUNTIFS(상품목록!$B$2:$B$101,A6,상품목록!$C$2:$C$101,B6)</f>
        <v/>
      </c>
      <c r="D6" s="2">
        <f>COUNTIFS(상품목록!$B$2:$B$101,A6,상품목록!$C$2:$C$101,B6,상품목록!$AC$2:$AC$101,"Y")</f>
        <v/>
      </c>
      <c r="E6" s="2">
        <f>IFERROR(ROUND(AVERAGEIFS(상품목록!$K$2:$K$101,상품목록!$B$2:$B$101,A6,상품목록!$C$2:$C$101,B6,상품목록!$AC$2:$AC$101,"Y"),1),"-")</f>
        <v/>
      </c>
      <c r="F6" s="2">
        <f t="array" ref="F6">IFERROR(MEDIAN(IF((상품목록!$B$2:$B$101=A6)*(상품목록!$C$2:$C$101=B6)*(상품목록!$AC$2:$AC$101="Y"),상품목록!$K$2:$K$101)),"-")</f>
        <v/>
      </c>
      <c r="G6" s="2">
        <f>IFERROR(_xlfn.MINIFS(상품목록!$K$2:$K$101,상품목록!$B$2:$B$101,A6,상품목록!$C$2:$C$101,B6,상품목록!$AC$2:$AC$101,"Y"),"-")</f>
        <v/>
      </c>
      <c r="H6" s="2">
        <f>IFERROR(_xlfn.MAXIFS(상품목록!$K$2:$K$101,상품목록!$B$2:$B$101,A6,상품목록!$C$2:$C$101,B6,상품목록!$AC$2:$AC$101,"Y"),"-")</f>
        <v/>
      </c>
      <c r="I6" s="2">
        <f>IFERROR(ROUND(AVERAGEIFS(상품목록!$J$2:$J$101,상품목록!$B$2:$B$101,A6,상품목록!$C$2:$C$101,B6,상품목록!$AC$2:$AC$101,"Y"),0),"-")</f>
        <v/>
      </c>
      <c r="J6" s="2">
        <f>COUNTIFS(상품목록!$B$2:$B$101,A6,상품목록!$C$2:$C$101,B6,상품목록!$AC$2:$AC$101,"Y",상품목록!$K$2:$K$101,"&gt;=0",상품목록!$K$2:$K$101,"&lt;=9")</f>
        <v/>
      </c>
      <c r="K6" s="2">
        <f>COUNTIFS(상품목록!$B$2:$B$101,A6,상품목록!$C$2:$C$101,B6,상품목록!$AC$2:$AC$101,"Y",상품목록!$K$2:$K$101,"&gt;=10",상품목록!$K$2:$K$101,"&lt;=19")</f>
        <v/>
      </c>
      <c r="L6" s="2">
        <f>COUNTIFS(상품목록!$B$2:$B$101,A6,상품목록!$C$2:$C$101,B6,상품목록!$AC$2:$AC$101,"Y",상품목록!$K$2:$K$101,"&gt;=20",상품목록!$K$2:$K$101,"&lt;=29")</f>
        <v/>
      </c>
      <c r="M6" s="2">
        <f>COUNTIFS(상품목록!$B$2:$B$101,A6,상품목록!$C$2:$C$101,B6,상품목록!$AC$2:$AC$101,"Y",상품목록!$K$2:$K$101,"&gt;=30",상품목록!$K$2:$K$101,"&lt;=39")</f>
        <v/>
      </c>
      <c r="N6" s="2">
        <f>COUNTIFS(상품목록!$B$2:$B$101,A6,상품목록!$C$2:$C$101,B6,상품목록!$AC$2:$AC$101,"Y",상품목록!$K$2:$K$101,"&gt;=40",상품목록!$K$2:$K$101,"&lt;=49")</f>
        <v/>
      </c>
      <c r="O6" s="2">
        <f>COUNTIFS(상품목록!$B$2:$B$101,A6,상품목록!$C$2:$C$101,B6,상품목록!$AC$2:$AC$101,"Y",상품목록!$K$2:$K$101,"&gt;=50",상품목록!$K$2:$K$101,"&lt;=1000")</f>
        <v/>
      </c>
    </row>
    <row r="7">
      <c r="A7" s="2" t="inlineStr">
        <is>
          <t>삼성미라클안과</t>
        </is>
      </c>
      <c r="B7" s="2" t="inlineStr">
        <is>
          <t>라식·라섹</t>
        </is>
      </c>
      <c r="C7" s="2">
        <f>COUNTIFS(상품목록!$B$2:$B$101,A7,상품목록!$C$2:$C$101,B7)</f>
        <v/>
      </c>
      <c r="D7" s="2">
        <f>COUNTIFS(상품목록!$B$2:$B$101,A7,상품목록!$C$2:$C$101,B7,상품목록!$AC$2:$AC$101,"Y")</f>
        <v/>
      </c>
      <c r="E7" s="2">
        <f>IFERROR(ROUND(AVERAGEIFS(상품목록!$K$2:$K$101,상품목록!$B$2:$B$101,A7,상품목록!$C$2:$C$101,B7,상품목록!$AC$2:$AC$101,"Y"),1),"-")</f>
        <v/>
      </c>
      <c r="F7" s="2">
        <f t="array" ref="F7">IFERROR(MEDIAN(IF((상품목록!$B$2:$B$101=A7)*(상품목록!$C$2:$C$101=B7)*(상품목록!$AC$2:$AC$101="Y"),상품목록!$K$2:$K$101)),"-")</f>
        <v/>
      </c>
      <c r="G7" s="2">
        <f>IFERROR(_xlfn.MINIFS(상품목록!$K$2:$K$101,상품목록!$B$2:$B$101,A7,상품목록!$C$2:$C$101,B7,상품목록!$AC$2:$AC$101,"Y"),"-")</f>
        <v/>
      </c>
      <c r="H7" s="2">
        <f>IFERROR(_xlfn.MAXIFS(상품목록!$K$2:$K$101,상품목록!$B$2:$B$101,A7,상품목록!$C$2:$C$101,B7,상품목록!$AC$2:$AC$101,"Y"),"-")</f>
        <v/>
      </c>
      <c r="I7" s="2">
        <f>IFERROR(ROUND(AVERAGEIFS(상품목록!$J$2:$J$101,상품목록!$B$2:$B$101,A7,상품목록!$C$2:$C$101,B7,상품목록!$AC$2:$AC$101,"Y"),0),"-")</f>
        <v/>
      </c>
      <c r="J7" s="2">
        <f>COUNTIFS(상품목록!$B$2:$B$101,A7,상품목록!$C$2:$C$101,B7,상품목록!$AC$2:$AC$101,"Y",상품목록!$K$2:$K$101,"&gt;=0",상품목록!$K$2:$K$101,"&lt;=9")</f>
        <v/>
      </c>
      <c r="K7" s="2">
        <f>COUNTIFS(상품목록!$B$2:$B$101,A7,상품목록!$C$2:$C$101,B7,상품목록!$AC$2:$AC$101,"Y",상품목록!$K$2:$K$101,"&gt;=10",상품목록!$K$2:$K$101,"&lt;=19")</f>
        <v/>
      </c>
      <c r="L7" s="2">
        <f>COUNTIFS(상품목록!$B$2:$B$101,A7,상품목록!$C$2:$C$101,B7,상품목록!$AC$2:$AC$101,"Y",상품목록!$K$2:$K$101,"&gt;=20",상품목록!$K$2:$K$101,"&lt;=29")</f>
        <v/>
      </c>
      <c r="M7" s="2">
        <f>COUNTIFS(상품목록!$B$2:$B$101,A7,상품목록!$C$2:$C$101,B7,상품목록!$AC$2:$AC$101,"Y",상품목록!$K$2:$K$101,"&gt;=30",상품목록!$K$2:$K$101,"&lt;=39")</f>
        <v/>
      </c>
      <c r="N7" s="2">
        <f>COUNTIFS(상품목록!$B$2:$B$101,A7,상품목록!$C$2:$C$101,B7,상품목록!$AC$2:$AC$101,"Y",상품목록!$K$2:$K$101,"&gt;=40",상품목록!$K$2:$K$101,"&lt;=49")</f>
        <v/>
      </c>
      <c r="O7" s="2">
        <f>COUNTIFS(상품목록!$B$2:$B$101,A7,상품목록!$C$2:$C$101,B7,상품목록!$AC$2:$AC$101,"Y",상품목록!$K$2:$K$101,"&gt;=50",상품목록!$K$2:$K$101,"&lt;=1000")</f>
        <v/>
      </c>
    </row>
    <row r="8">
      <c r="A8" s="2" t="inlineStr">
        <is>
          <t>서울베스트의료의원</t>
        </is>
      </c>
      <c r="B8" s="2" t="inlineStr">
        <is>
          <t>건강검진</t>
        </is>
      </c>
      <c r="C8" s="2">
        <f>COUNTIFS(상품목록!$B$2:$B$101,A8,상품목록!$C$2:$C$101,B8)</f>
        <v/>
      </c>
      <c r="D8" s="2">
        <f>COUNTIFS(상품목록!$B$2:$B$101,A8,상품목록!$C$2:$C$101,B8,상품목록!$AC$2:$AC$101,"Y")</f>
        <v/>
      </c>
      <c r="E8" s="2">
        <f>IFERROR(ROUND(AVERAGEIFS(상품목록!$K$2:$K$101,상품목록!$B$2:$B$101,A8,상품목록!$C$2:$C$101,B8,상품목록!$AC$2:$AC$101,"Y"),1),"-")</f>
        <v/>
      </c>
      <c r="F8" s="2">
        <f t="array" ref="F8">IFERROR(MEDIAN(IF((상품목록!$B$2:$B$101=A8)*(상품목록!$C$2:$C$101=B8)*(상품목록!$AC$2:$AC$101="Y"),상품목록!$K$2:$K$101)),"-")</f>
        <v/>
      </c>
      <c r="G8" s="2">
        <f>IFERROR(_xlfn.MINIFS(상품목록!$K$2:$K$101,상품목록!$B$2:$B$101,A8,상품목록!$C$2:$C$101,B8,상품목록!$AC$2:$AC$101,"Y"),"-")</f>
        <v/>
      </c>
      <c r="H8" s="2">
        <f>IFERROR(_xlfn.MAXIFS(상품목록!$K$2:$K$101,상품목록!$B$2:$B$101,A8,상품목록!$C$2:$C$101,B8,상품목록!$AC$2:$AC$101,"Y"),"-")</f>
        <v/>
      </c>
      <c r="I8" s="2">
        <f>IFERROR(ROUND(AVERAGEIFS(상품목록!$J$2:$J$101,상품목록!$B$2:$B$101,A8,상품목록!$C$2:$C$101,B8,상품목록!$AC$2:$AC$101,"Y"),0),"-")</f>
        <v/>
      </c>
      <c r="J8" s="2">
        <f>COUNTIFS(상품목록!$B$2:$B$101,A8,상품목록!$C$2:$C$101,B8,상품목록!$AC$2:$AC$101,"Y",상품목록!$K$2:$K$101,"&gt;=0",상품목록!$K$2:$K$101,"&lt;=9")</f>
        <v/>
      </c>
      <c r="K8" s="2">
        <f>COUNTIFS(상품목록!$B$2:$B$101,A8,상품목록!$C$2:$C$101,B8,상품목록!$AC$2:$AC$101,"Y",상품목록!$K$2:$K$101,"&gt;=10",상품목록!$K$2:$K$101,"&lt;=19")</f>
        <v/>
      </c>
      <c r="L8" s="2">
        <f>COUNTIFS(상품목록!$B$2:$B$101,A8,상품목록!$C$2:$C$101,B8,상품목록!$AC$2:$AC$101,"Y",상품목록!$K$2:$K$101,"&gt;=20",상품목록!$K$2:$K$101,"&lt;=29")</f>
        <v/>
      </c>
      <c r="M8" s="2">
        <f>COUNTIFS(상품목록!$B$2:$B$101,A8,상품목록!$C$2:$C$101,B8,상품목록!$AC$2:$AC$101,"Y",상품목록!$K$2:$K$101,"&gt;=30",상품목록!$K$2:$K$101,"&lt;=39")</f>
        <v/>
      </c>
      <c r="N8" s="2">
        <f>COUNTIFS(상품목록!$B$2:$B$101,A8,상품목록!$C$2:$C$101,B8,상품목록!$AC$2:$AC$101,"Y",상품목록!$K$2:$K$101,"&gt;=40",상품목록!$K$2:$K$101,"&lt;=49")</f>
        <v/>
      </c>
      <c r="O8" s="2">
        <f>COUNTIFS(상품목록!$B$2:$B$101,A8,상품목록!$C$2:$C$101,B8,상품목록!$AC$2:$AC$101,"Y",상품목록!$K$2:$K$101,"&gt;=50",상품목록!$K$2:$K$101,"&lt;=1000")</f>
        <v/>
      </c>
    </row>
    <row r="9">
      <c r="A9" s="2" t="inlineStr">
        <is>
          <t>숙박</t>
        </is>
      </c>
      <c r="B9" s="2" t="inlineStr">
        <is>
          <t>숙박</t>
        </is>
      </c>
      <c r="C9" s="2">
        <f>COUNTIFS(상품목록!$B$2:$B$101,A9,상품목록!$C$2:$C$101,B9)</f>
        <v/>
      </c>
      <c r="D9" s="2">
        <f>COUNTIFS(상품목록!$B$2:$B$101,A9,상품목록!$C$2:$C$101,B9,상품목록!$AC$2:$AC$101,"Y")</f>
        <v/>
      </c>
      <c r="E9" s="2">
        <f>IFERROR(ROUND(AVERAGEIFS(상품목록!$K$2:$K$101,상품목록!$B$2:$B$101,A9,상품목록!$C$2:$C$101,B9,상품목록!$AC$2:$AC$101,"Y"),1),"-")</f>
        <v/>
      </c>
      <c r="F9" s="2">
        <f t="array" ref="F9">IFERROR(MEDIAN(IF((상품목록!$B$2:$B$101=A9)*(상품목록!$C$2:$C$101=B9)*(상품목록!$AC$2:$AC$101="Y"),상품목록!$K$2:$K$101)),"-")</f>
        <v/>
      </c>
      <c r="G9" s="2">
        <f>IFERROR(_xlfn.MINIFS(상품목록!$K$2:$K$101,상품목록!$B$2:$B$101,A9,상품목록!$C$2:$C$101,B9,상품목록!$AC$2:$AC$101,"Y"),"-")</f>
        <v/>
      </c>
      <c r="H9" s="2">
        <f>IFERROR(_xlfn.MAXIFS(상품목록!$K$2:$K$101,상품목록!$B$2:$B$101,A9,상품목록!$C$2:$C$101,B9,상품목록!$AC$2:$AC$101,"Y"),"-")</f>
        <v/>
      </c>
      <c r="I9" s="2">
        <f>IFERROR(ROUND(AVERAGEIFS(상품목록!$J$2:$J$101,상품목록!$B$2:$B$101,A9,상품목록!$C$2:$C$101,B9,상품목록!$AC$2:$AC$101,"Y"),0),"-")</f>
        <v/>
      </c>
      <c r="J9" s="2">
        <f>COUNTIFS(상품목록!$B$2:$B$101,A9,상품목록!$C$2:$C$101,B9,상품목록!$AC$2:$AC$101,"Y",상품목록!$K$2:$K$101,"&gt;=0",상품목록!$K$2:$K$101,"&lt;=9")</f>
        <v/>
      </c>
      <c r="K9" s="2">
        <f>COUNTIFS(상품목록!$B$2:$B$101,A9,상품목록!$C$2:$C$101,B9,상품목록!$AC$2:$AC$101,"Y",상품목록!$K$2:$K$101,"&gt;=10",상품목록!$K$2:$K$101,"&lt;=19")</f>
        <v/>
      </c>
      <c r="L9" s="2">
        <f>COUNTIFS(상품목록!$B$2:$B$101,A9,상품목록!$C$2:$C$101,B9,상품목록!$AC$2:$AC$101,"Y",상품목록!$K$2:$K$101,"&gt;=20",상품목록!$K$2:$K$101,"&lt;=29")</f>
        <v/>
      </c>
      <c r="M9" s="2">
        <f>COUNTIFS(상품목록!$B$2:$B$101,A9,상품목록!$C$2:$C$101,B9,상품목록!$AC$2:$AC$101,"Y",상품목록!$K$2:$K$101,"&gt;=30",상품목록!$K$2:$K$101,"&lt;=39")</f>
        <v/>
      </c>
      <c r="N9" s="2">
        <f>COUNTIFS(상품목록!$B$2:$B$101,A9,상품목록!$C$2:$C$101,B9,상품목록!$AC$2:$AC$101,"Y",상품목록!$K$2:$K$101,"&gt;=40",상품목록!$K$2:$K$101,"&lt;=49")</f>
        <v/>
      </c>
      <c r="O9" s="2">
        <f>COUNTIFS(상품목록!$B$2:$B$101,A9,상품목록!$C$2:$C$101,B9,상품목록!$AC$2:$AC$101,"Y",상품목록!$K$2:$K$101,"&gt;=50",상품목록!$K$2:$K$101,"&lt;=1000")</f>
        <v/>
      </c>
    </row>
    <row r="10">
      <c r="A10" s="2" t="inlineStr">
        <is>
          <t>워터파크</t>
        </is>
      </c>
      <c r="B10" s="2" t="inlineStr">
        <is>
          <t>워터파크</t>
        </is>
      </c>
      <c r="C10" s="2">
        <f>COUNTIFS(상품목록!$B$2:$B$101,A10,상품목록!$C$2:$C$101,B10)</f>
        <v/>
      </c>
      <c r="D10" s="2">
        <f>COUNTIFS(상품목록!$B$2:$B$101,A10,상품목록!$C$2:$C$101,B10,상품목록!$AC$2:$AC$101,"Y")</f>
        <v/>
      </c>
      <c r="E10" s="2">
        <f>IFERROR(ROUND(AVERAGEIFS(상품목록!$K$2:$K$101,상품목록!$B$2:$B$101,A10,상품목록!$C$2:$C$101,B10,상품목록!$AC$2:$AC$101,"Y"),1),"-")</f>
        <v/>
      </c>
      <c r="F10" s="2">
        <f t="array" ref="F10">IFERROR(MEDIAN(IF((상품목록!$B$2:$B$101=A10)*(상품목록!$C$2:$C$101=B10)*(상품목록!$AC$2:$AC$101="Y"),상품목록!$K$2:$K$101)),"-")</f>
        <v/>
      </c>
      <c r="G10" s="2">
        <f>IFERROR(_xlfn.MINIFS(상품목록!$K$2:$K$101,상품목록!$B$2:$B$101,A10,상품목록!$C$2:$C$101,B10,상품목록!$AC$2:$AC$101,"Y"),"-")</f>
        <v/>
      </c>
      <c r="H10" s="2">
        <f>IFERROR(_xlfn.MAXIFS(상품목록!$K$2:$K$101,상품목록!$B$2:$B$101,A10,상품목록!$C$2:$C$101,B10,상품목록!$AC$2:$AC$101,"Y"),"-")</f>
        <v/>
      </c>
      <c r="I10" s="2">
        <f>IFERROR(ROUND(AVERAGEIFS(상품목록!$J$2:$J$101,상품목록!$B$2:$B$101,A10,상품목록!$C$2:$C$101,B10,상품목록!$AC$2:$AC$101,"Y"),0),"-")</f>
        <v/>
      </c>
      <c r="J10" s="2">
        <f>COUNTIFS(상품목록!$B$2:$B$101,A10,상품목록!$C$2:$C$101,B10,상품목록!$AC$2:$AC$101,"Y",상품목록!$K$2:$K$101,"&gt;=0",상품목록!$K$2:$K$101,"&lt;=9")</f>
        <v/>
      </c>
      <c r="K10" s="2">
        <f>COUNTIFS(상품목록!$B$2:$B$101,A10,상품목록!$C$2:$C$101,B10,상품목록!$AC$2:$AC$101,"Y",상품목록!$K$2:$K$101,"&gt;=10",상품목록!$K$2:$K$101,"&lt;=19")</f>
        <v/>
      </c>
      <c r="L10" s="2">
        <f>COUNTIFS(상품목록!$B$2:$B$101,A10,상품목록!$C$2:$C$101,B10,상품목록!$AC$2:$AC$101,"Y",상품목록!$K$2:$K$101,"&gt;=20",상품목록!$K$2:$K$101,"&lt;=29")</f>
        <v/>
      </c>
      <c r="M10" s="2">
        <f>COUNTIFS(상품목록!$B$2:$B$101,A10,상품목록!$C$2:$C$101,B10,상품목록!$AC$2:$AC$101,"Y",상품목록!$K$2:$K$101,"&gt;=30",상품목록!$K$2:$K$101,"&lt;=39")</f>
        <v/>
      </c>
      <c r="N10" s="2">
        <f>COUNTIFS(상품목록!$B$2:$B$101,A10,상품목록!$C$2:$C$101,B10,상품목록!$AC$2:$AC$101,"Y",상품목록!$K$2:$K$101,"&gt;=40",상품목록!$K$2:$K$101,"&lt;=49")</f>
        <v/>
      </c>
      <c r="O10" s="2">
        <f>COUNTIFS(상품목록!$B$2:$B$101,A10,상품목록!$C$2:$C$101,B10,상품목록!$AC$2:$AC$101,"Y",상품목록!$K$2:$K$101,"&gt;=50",상품목록!$K$2:$K$101,"&lt;=1000")</f>
        <v/>
      </c>
    </row>
    <row r="11">
      <c r="A11" s="2" t="inlineStr">
        <is>
          <t>자동차 구매</t>
        </is>
      </c>
      <c r="B11" s="2" t="inlineStr">
        <is>
          <t>제네시스</t>
        </is>
      </c>
      <c r="C11" s="2">
        <f>COUNTIFS(상품목록!$B$2:$B$101,A11,상품목록!$C$2:$C$101,B11)</f>
        <v/>
      </c>
      <c r="D11" s="2">
        <f>COUNTIFS(상품목록!$B$2:$B$101,A11,상품목록!$C$2:$C$101,B11,상품목록!$AC$2:$AC$101,"Y")</f>
        <v/>
      </c>
      <c r="E11" s="2">
        <f>IFERROR(ROUND(AVERAGEIFS(상품목록!$K$2:$K$101,상품목록!$B$2:$B$101,A11,상품목록!$C$2:$C$101,B11,상품목록!$AC$2:$AC$101,"Y"),1),"-")</f>
        <v/>
      </c>
      <c r="F11" s="2">
        <f t="array" ref="F11">IFERROR(MEDIAN(IF((상품목록!$B$2:$B$101=A11)*(상품목록!$C$2:$C$101=B11)*(상품목록!$AC$2:$AC$101="Y"),상품목록!$K$2:$K$101)),"-")</f>
        <v/>
      </c>
      <c r="G11" s="2">
        <f>IFERROR(_xlfn.MINIFS(상품목록!$K$2:$K$101,상품목록!$B$2:$B$101,A11,상품목록!$C$2:$C$101,B11,상품목록!$AC$2:$AC$101,"Y"),"-")</f>
        <v/>
      </c>
      <c r="H11" s="2">
        <f>IFERROR(_xlfn.MAXIFS(상품목록!$K$2:$K$101,상품목록!$B$2:$B$101,A11,상품목록!$C$2:$C$101,B11,상품목록!$AC$2:$AC$101,"Y"),"-")</f>
        <v/>
      </c>
      <c r="I11" s="2">
        <f>IFERROR(ROUND(AVERAGEIFS(상품목록!$J$2:$J$101,상품목록!$B$2:$B$101,A11,상품목록!$C$2:$C$101,B11,상품목록!$AC$2:$AC$101,"Y"),0),"-")</f>
        <v/>
      </c>
      <c r="J11" s="2">
        <f>COUNTIFS(상품목록!$B$2:$B$101,A11,상품목록!$C$2:$C$101,B11,상품목록!$AC$2:$AC$101,"Y",상품목록!$K$2:$K$101,"&gt;=0",상품목록!$K$2:$K$101,"&lt;=9")</f>
        <v/>
      </c>
      <c r="K11" s="2">
        <f>COUNTIFS(상품목록!$B$2:$B$101,A11,상품목록!$C$2:$C$101,B11,상품목록!$AC$2:$AC$101,"Y",상품목록!$K$2:$K$101,"&gt;=10",상품목록!$K$2:$K$101,"&lt;=19")</f>
        <v/>
      </c>
      <c r="L11" s="2">
        <f>COUNTIFS(상품목록!$B$2:$B$101,A11,상품목록!$C$2:$C$101,B11,상품목록!$AC$2:$AC$101,"Y",상품목록!$K$2:$K$101,"&gt;=20",상품목록!$K$2:$K$101,"&lt;=29")</f>
        <v/>
      </c>
      <c r="M11" s="2">
        <f>COUNTIFS(상품목록!$B$2:$B$101,A11,상품목록!$C$2:$C$101,B11,상품목록!$AC$2:$AC$101,"Y",상품목록!$K$2:$K$101,"&gt;=30",상품목록!$K$2:$K$101,"&lt;=39")</f>
        <v/>
      </c>
      <c r="N11" s="2">
        <f>COUNTIFS(상품목록!$B$2:$B$101,A11,상품목록!$C$2:$C$101,B11,상품목록!$AC$2:$AC$101,"Y",상품목록!$K$2:$K$101,"&gt;=40",상품목록!$K$2:$K$101,"&lt;=49")</f>
        <v/>
      </c>
      <c r="O11" s="2">
        <f>COUNTIFS(상품목록!$B$2:$B$101,A11,상품목록!$C$2:$C$101,B11,상품목록!$AC$2:$AC$101,"Y",상품목록!$K$2:$K$101,"&gt;=50",상품목록!$K$2:$K$101,"&lt;=1000")</f>
        <v/>
      </c>
    </row>
    <row r="12">
      <c r="A12" s="2" t="inlineStr">
        <is>
          <t>전시</t>
        </is>
      </c>
      <c r="B12" s="2" t="inlineStr">
        <is>
          <t>박물관</t>
        </is>
      </c>
      <c r="C12" s="2">
        <f>COUNTIFS(상품목록!$B$2:$B$101,A12,상품목록!$C$2:$C$101,B12)</f>
        <v/>
      </c>
      <c r="D12" s="2">
        <f>COUNTIFS(상품목록!$B$2:$B$101,A12,상품목록!$C$2:$C$101,B12,상품목록!$AC$2:$AC$101,"Y")</f>
        <v/>
      </c>
      <c r="E12" s="2">
        <f>IFERROR(ROUND(AVERAGEIFS(상품목록!$K$2:$K$101,상품목록!$B$2:$B$101,A12,상품목록!$C$2:$C$101,B12,상품목록!$AC$2:$AC$101,"Y"),1),"-")</f>
        <v/>
      </c>
      <c r="F12" s="2">
        <f t="array" ref="F12">IFERROR(MEDIAN(IF((상품목록!$B$2:$B$101=A12)*(상품목록!$C$2:$C$101=B12)*(상품목록!$AC$2:$AC$101="Y"),상품목록!$K$2:$K$101)),"-")</f>
        <v/>
      </c>
      <c r="G12" s="2">
        <f>IFERROR(_xlfn.MINIFS(상품목록!$K$2:$K$101,상품목록!$B$2:$B$101,A12,상품목록!$C$2:$C$101,B12,상품목록!$AC$2:$AC$101,"Y"),"-")</f>
        <v/>
      </c>
      <c r="H12" s="2">
        <f>IFERROR(_xlfn.MAXIFS(상품목록!$K$2:$K$101,상품목록!$B$2:$B$101,A12,상품목록!$C$2:$C$101,B12,상품목록!$AC$2:$AC$101,"Y"),"-")</f>
        <v/>
      </c>
      <c r="I12" s="2">
        <f>IFERROR(ROUND(AVERAGEIFS(상품목록!$J$2:$J$101,상품목록!$B$2:$B$101,A12,상품목록!$C$2:$C$101,B12,상품목록!$AC$2:$AC$101,"Y"),0),"-")</f>
        <v/>
      </c>
      <c r="J12" s="2">
        <f>COUNTIFS(상품목록!$B$2:$B$101,A12,상품목록!$C$2:$C$101,B12,상품목록!$AC$2:$AC$101,"Y",상품목록!$K$2:$K$101,"&gt;=0",상품목록!$K$2:$K$101,"&lt;=9")</f>
        <v/>
      </c>
      <c r="K12" s="2">
        <f>COUNTIFS(상품목록!$B$2:$B$101,A12,상품목록!$C$2:$C$101,B12,상품목록!$AC$2:$AC$101,"Y",상품목록!$K$2:$K$101,"&gt;=10",상품목록!$K$2:$K$101,"&lt;=19")</f>
        <v/>
      </c>
      <c r="L12" s="2">
        <f>COUNTIFS(상품목록!$B$2:$B$101,A12,상품목록!$C$2:$C$101,B12,상품목록!$AC$2:$AC$101,"Y",상품목록!$K$2:$K$101,"&gt;=20",상품목록!$K$2:$K$101,"&lt;=29")</f>
        <v/>
      </c>
      <c r="M12" s="2">
        <f>COUNTIFS(상품목록!$B$2:$B$101,A12,상품목록!$C$2:$C$101,B12,상품목록!$AC$2:$AC$101,"Y",상품목록!$K$2:$K$101,"&gt;=30",상품목록!$K$2:$K$101,"&lt;=39")</f>
        <v/>
      </c>
      <c r="N12" s="2">
        <f>COUNTIFS(상품목록!$B$2:$B$101,A12,상품목록!$C$2:$C$101,B12,상품목록!$AC$2:$AC$101,"Y",상품목록!$K$2:$K$101,"&gt;=40",상품목록!$K$2:$K$101,"&lt;=49")</f>
        <v/>
      </c>
      <c r="O12" s="2">
        <f>COUNTIFS(상품목록!$B$2:$B$101,A12,상품목록!$C$2:$C$101,B12,상품목록!$AC$2:$AC$101,"Y",상품목록!$K$2:$K$101,"&gt;=50",상품목록!$K$2:$K$101,"&lt;=1000")</f>
        <v/>
      </c>
    </row>
    <row r="13">
      <c r="A13" s="2" t="inlineStr">
        <is>
          <t>테마파크</t>
        </is>
      </c>
      <c r="B13" s="2" t="inlineStr">
        <is>
          <t>놀이공원</t>
        </is>
      </c>
      <c r="C13" s="2">
        <f>COUNTIFS(상품목록!$B$2:$B$101,A13,상품목록!$C$2:$C$101,B13)</f>
        <v/>
      </c>
      <c r="D13" s="2">
        <f>COUNTIFS(상품목록!$B$2:$B$101,A13,상품목록!$C$2:$C$101,B13,상품목록!$AC$2:$AC$101,"Y")</f>
        <v/>
      </c>
      <c r="E13" s="2">
        <f>IFERROR(ROUND(AVERAGEIFS(상품목록!$K$2:$K$101,상품목록!$B$2:$B$101,A13,상품목록!$C$2:$C$101,B13,상품목록!$AC$2:$AC$101,"Y"),1),"-")</f>
        <v/>
      </c>
      <c r="F13" s="2">
        <f t="array" ref="F13">IFERROR(MEDIAN(IF((상품목록!$B$2:$B$101=A13)*(상품목록!$C$2:$C$101=B13)*(상품목록!$AC$2:$AC$101="Y"),상품목록!$K$2:$K$101)),"-")</f>
        <v/>
      </c>
      <c r="G13" s="2">
        <f>IFERROR(_xlfn.MINIFS(상품목록!$K$2:$K$101,상품목록!$B$2:$B$101,A13,상품목록!$C$2:$C$101,B13,상품목록!$AC$2:$AC$101,"Y"),"-")</f>
        <v/>
      </c>
      <c r="H13" s="2">
        <f>IFERROR(_xlfn.MAXIFS(상품목록!$K$2:$K$101,상품목록!$B$2:$B$101,A13,상품목록!$C$2:$C$101,B13,상품목록!$AC$2:$AC$101,"Y"),"-")</f>
        <v/>
      </c>
      <c r="I13" s="2">
        <f>IFERROR(ROUND(AVERAGEIFS(상품목록!$J$2:$J$101,상품목록!$B$2:$B$101,A13,상품목록!$C$2:$C$101,B13,상품목록!$AC$2:$AC$101,"Y"),0),"-")</f>
        <v/>
      </c>
      <c r="J13" s="2">
        <f>COUNTIFS(상품목록!$B$2:$B$101,A13,상품목록!$C$2:$C$101,B13,상품목록!$AC$2:$AC$101,"Y",상품목록!$K$2:$K$101,"&gt;=0",상품목록!$K$2:$K$101,"&lt;=9")</f>
        <v/>
      </c>
      <c r="K13" s="2">
        <f>COUNTIFS(상품목록!$B$2:$B$101,A13,상품목록!$C$2:$C$101,B13,상품목록!$AC$2:$AC$101,"Y",상품목록!$K$2:$K$101,"&gt;=10",상품목록!$K$2:$K$101,"&lt;=19")</f>
        <v/>
      </c>
      <c r="L13" s="2">
        <f>COUNTIFS(상품목록!$B$2:$B$101,A13,상품목록!$C$2:$C$101,B13,상품목록!$AC$2:$AC$101,"Y",상품목록!$K$2:$K$101,"&gt;=20",상품목록!$K$2:$K$101,"&lt;=29")</f>
        <v/>
      </c>
      <c r="M13" s="2">
        <f>COUNTIFS(상품목록!$B$2:$B$101,A13,상품목록!$C$2:$C$101,B13,상품목록!$AC$2:$AC$101,"Y",상품목록!$K$2:$K$101,"&gt;=30",상품목록!$K$2:$K$101,"&lt;=39")</f>
        <v/>
      </c>
      <c r="N13" s="2">
        <f>COUNTIFS(상품목록!$B$2:$B$101,A13,상품목록!$C$2:$C$101,B13,상품목록!$AC$2:$AC$101,"Y",상품목록!$K$2:$K$101,"&gt;=40",상품목록!$K$2:$K$101,"&lt;=49")</f>
        <v/>
      </c>
      <c r="O13" s="2">
        <f>COUNTIFS(상품목록!$B$2:$B$101,A13,상품목록!$C$2:$C$101,B13,상품목록!$AC$2:$AC$101,"Y",상품목록!$K$2:$K$101,"&gt;=50",상품목록!$K$2:$K$101,"&lt;=1000")</f>
        <v/>
      </c>
    </row>
    <row r="14">
      <c r="A14" s="2" t="inlineStr">
        <is>
          <t>테마파크</t>
        </is>
      </c>
      <c r="B14" s="2" t="inlineStr">
        <is>
          <t>아쿠아리움</t>
        </is>
      </c>
      <c r="C14" s="2">
        <f>COUNTIFS(상품목록!$B$2:$B$101,A14,상품목록!$C$2:$C$101,B14)</f>
        <v/>
      </c>
      <c r="D14" s="2">
        <f>COUNTIFS(상품목록!$B$2:$B$101,A14,상품목록!$C$2:$C$101,B14,상품목록!$AC$2:$AC$101,"Y")</f>
        <v/>
      </c>
      <c r="E14" s="2">
        <f>IFERROR(ROUND(AVERAGEIFS(상품목록!$K$2:$K$101,상품목록!$B$2:$B$101,A14,상품목록!$C$2:$C$101,B14,상품목록!$AC$2:$AC$101,"Y"),1),"-")</f>
        <v/>
      </c>
      <c r="F14" s="2">
        <f t="array" ref="F14">IFERROR(MEDIAN(IF((상품목록!$B$2:$B$101=A14)*(상품목록!$C$2:$C$101=B14)*(상품목록!$AC$2:$AC$101="Y"),상품목록!$K$2:$K$101)),"-")</f>
        <v/>
      </c>
      <c r="G14" s="2">
        <f>IFERROR(_xlfn.MINIFS(상품목록!$K$2:$K$101,상품목록!$B$2:$B$101,A14,상품목록!$C$2:$C$101,B14,상품목록!$AC$2:$AC$101,"Y"),"-")</f>
        <v/>
      </c>
      <c r="H14" s="2">
        <f>IFERROR(_xlfn.MAXIFS(상품목록!$K$2:$K$101,상품목록!$B$2:$B$101,A14,상품목록!$C$2:$C$101,B14,상품목록!$AC$2:$AC$101,"Y"),"-")</f>
        <v/>
      </c>
      <c r="I14" s="2">
        <f>IFERROR(ROUND(AVERAGEIFS(상품목록!$J$2:$J$101,상품목록!$B$2:$B$101,A14,상품목록!$C$2:$C$101,B14,상품목록!$AC$2:$AC$101,"Y"),0),"-")</f>
        <v/>
      </c>
      <c r="J14" s="2">
        <f>COUNTIFS(상품목록!$B$2:$B$101,A14,상품목록!$C$2:$C$101,B14,상품목록!$AC$2:$AC$101,"Y",상품목록!$K$2:$K$101,"&gt;=0",상품목록!$K$2:$K$101,"&lt;=9")</f>
        <v/>
      </c>
      <c r="K14" s="2">
        <f>COUNTIFS(상품목록!$B$2:$B$101,A14,상품목록!$C$2:$C$101,B14,상품목록!$AC$2:$AC$101,"Y",상품목록!$K$2:$K$101,"&gt;=10",상품목록!$K$2:$K$101,"&lt;=19")</f>
        <v/>
      </c>
      <c r="L14" s="2">
        <f>COUNTIFS(상품목록!$B$2:$B$101,A14,상품목록!$C$2:$C$101,B14,상품목록!$AC$2:$AC$101,"Y",상품목록!$K$2:$K$101,"&gt;=20",상품목록!$K$2:$K$101,"&lt;=29")</f>
        <v/>
      </c>
      <c r="M14" s="2">
        <f>COUNTIFS(상품목록!$B$2:$B$101,A14,상품목록!$C$2:$C$101,B14,상품목록!$AC$2:$AC$101,"Y",상품목록!$K$2:$K$101,"&gt;=30",상품목록!$K$2:$K$101,"&lt;=39")</f>
        <v/>
      </c>
      <c r="N14" s="2">
        <f>COUNTIFS(상품목록!$B$2:$B$101,A14,상품목록!$C$2:$C$101,B14,상품목록!$AC$2:$AC$101,"Y",상품목록!$K$2:$K$101,"&gt;=40",상품목록!$K$2:$K$101,"&lt;=49")</f>
        <v/>
      </c>
      <c r="O14" s="2">
        <f>COUNTIFS(상품목록!$B$2:$B$101,A14,상품목록!$C$2:$C$101,B14,상품목록!$AC$2:$AC$101,"Y",상품목록!$K$2:$K$101,"&gt;=50",상품목록!$K$2:$K$101,"&lt;=1000")</f>
        <v/>
      </c>
    </row>
    <row r="15">
      <c r="A15" s="2" t="inlineStr">
        <is>
          <t>테마파크</t>
        </is>
      </c>
      <c r="B15" s="2" t="inlineStr">
        <is>
          <t>테마파크</t>
        </is>
      </c>
      <c r="C15" s="2">
        <f>COUNTIFS(상품목록!$B$2:$B$101,A15,상품목록!$C$2:$C$101,B15)</f>
        <v/>
      </c>
      <c r="D15" s="2">
        <f>COUNTIFS(상품목록!$B$2:$B$101,A15,상품목록!$C$2:$C$101,B15,상품목록!$AC$2:$AC$101,"Y")</f>
        <v/>
      </c>
      <c r="E15" s="2">
        <f>IFERROR(ROUND(AVERAGEIFS(상품목록!$K$2:$K$101,상품목록!$B$2:$B$101,A15,상품목록!$C$2:$C$101,B15,상품목록!$AC$2:$AC$101,"Y"),1),"-")</f>
        <v/>
      </c>
      <c r="F15" s="2">
        <f t="array" ref="F15">IFERROR(MEDIAN(IF((상품목록!$B$2:$B$101=A15)*(상품목록!$C$2:$C$101=B15)*(상품목록!$AC$2:$AC$101="Y"),상품목록!$K$2:$K$101)),"-")</f>
        <v/>
      </c>
      <c r="G15" s="2">
        <f>IFERROR(_xlfn.MINIFS(상품목록!$K$2:$K$101,상품목록!$B$2:$B$101,A15,상품목록!$C$2:$C$101,B15,상품목록!$AC$2:$AC$101,"Y"),"-")</f>
        <v/>
      </c>
      <c r="H15" s="2">
        <f>IFERROR(_xlfn.MAXIFS(상품목록!$K$2:$K$101,상품목록!$B$2:$B$101,A15,상품목록!$C$2:$C$101,B15,상품목록!$AC$2:$AC$101,"Y"),"-")</f>
        <v/>
      </c>
      <c r="I15" s="2">
        <f>IFERROR(ROUND(AVERAGEIFS(상품목록!$J$2:$J$101,상품목록!$B$2:$B$101,A15,상품목록!$C$2:$C$101,B15,상품목록!$AC$2:$AC$101,"Y"),0),"-")</f>
        <v/>
      </c>
      <c r="J15" s="2">
        <f>COUNTIFS(상품목록!$B$2:$B$101,A15,상품목록!$C$2:$C$101,B15,상품목록!$AC$2:$AC$101,"Y",상품목록!$K$2:$K$101,"&gt;=0",상품목록!$K$2:$K$101,"&lt;=9")</f>
        <v/>
      </c>
      <c r="K15" s="2">
        <f>COUNTIFS(상품목록!$B$2:$B$101,A15,상품목록!$C$2:$C$101,B15,상품목록!$AC$2:$AC$101,"Y",상품목록!$K$2:$K$101,"&gt;=10",상품목록!$K$2:$K$101,"&lt;=19")</f>
        <v/>
      </c>
      <c r="L15" s="2">
        <f>COUNTIFS(상품목록!$B$2:$B$101,A15,상품목록!$C$2:$C$101,B15,상품목록!$AC$2:$AC$101,"Y",상품목록!$K$2:$K$101,"&gt;=20",상품목록!$K$2:$K$101,"&lt;=29")</f>
        <v/>
      </c>
      <c r="M15" s="2">
        <f>COUNTIFS(상품목록!$B$2:$B$101,A15,상품목록!$C$2:$C$101,B15,상품목록!$AC$2:$AC$101,"Y",상품목록!$K$2:$K$101,"&gt;=30",상품목록!$K$2:$K$101,"&lt;=39")</f>
        <v/>
      </c>
      <c r="N15" s="2">
        <f>COUNTIFS(상품목록!$B$2:$B$101,A15,상품목록!$C$2:$C$101,B15,상품목록!$AC$2:$AC$101,"Y",상품목록!$K$2:$K$101,"&gt;=40",상품목록!$K$2:$K$101,"&lt;=49")</f>
        <v/>
      </c>
      <c r="O15" s="2">
        <f>COUNTIFS(상품목록!$B$2:$B$101,A15,상품목록!$C$2:$C$101,B15,상품목록!$AC$2:$AC$101,"Y",상품목록!$K$2:$K$101,"&gt;=50",상품목록!$K$2:$K$101,"&lt;=1000")</f>
        <v/>
      </c>
    </row>
    <row r="16">
      <c r="A16" s="2" t="inlineStr">
        <is>
          <t>헬스&amp;푸드</t>
        </is>
      </c>
      <c r="B16" s="2" t="inlineStr">
        <is>
          <t>푸드</t>
        </is>
      </c>
      <c r="C16" s="2">
        <f>COUNTIFS(상품목록!$B$2:$B$101,A16,상품목록!$C$2:$C$101,B16)</f>
        <v/>
      </c>
      <c r="D16" s="2">
        <f>COUNTIFS(상품목록!$B$2:$B$101,A16,상품목록!$C$2:$C$101,B16,상품목록!$AC$2:$AC$101,"Y")</f>
        <v/>
      </c>
      <c r="E16" s="2">
        <f>IFERROR(ROUND(AVERAGEIFS(상품목록!$K$2:$K$101,상품목록!$B$2:$B$101,A16,상품목록!$C$2:$C$101,B16,상품목록!$AC$2:$AC$101,"Y"),1),"-")</f>
        <v/>
      </c>
      <c r="F16" s="2">
        <f t="array" ref="F16">IFERROR(MEDIAN(IF((상품목록!$B$2:$B$101=A16)*(상품목록!$C$2:$C$101=B16)*(상품목록!$AC$2:$AC$101="Y"),상품목록!$K$2:$K$101)),"-")</f>
        <v/>
      </c>
      <c r="G16" s="2">
        <f>IFERROR(_xlfn.MINIFS(상품목록!$K$2:$K$101,상품목록!$B$2:$B$101,A16,상품목록!$C$2:$C$101,B16,상품목록!$AC$2:$AC$101,"Y"),"-")</f>
        <v/>
      </c>
      <c r="H16" s="2">
        <f>IFERROR(_xlfn.MAXIFS(상품목록!$K$2:$K$101,상품목록!$B$2:$B$101,A16,상품목록!$C$2:$C$101,B16,상품목록!$AC$2:$AC$101,"Y"),"-")</f>
        <v/>
      </c>
      <c r="I16" s="2">
        <f>IFERROR(ROUND(AVERAGEIFS(상품목록!$J$2:$J$101,상품목록!$B$2:$B$101,A16,상품목록!$C$2:$C$101,B16,상품목록!$AC$2:$AC$101,"Y"),0),"-")</f>
        <v/>
      </c>
      <c r="J16" s="2">
        <f>COUNTIFS(상품목록!$B$2:$B$101,A16,상품목록!$C$2:$C$101,B16,상품목록!$AC$2:$AC$101,"Y",상품목록!$K$2:$K$101,"&gt;=0",상품목록!$K$2:$K$101,"&lt;=9")</f>
        <v/>
      </c>
      <c r="K16" s="2">
        <f>COUNTIFS(상품목록!$B$2:$B$101,A16,상품목록!$C$2:$C$101,B16,상품목록!$AC$2:$AC$101,"Y",상품목록!$K$2:$K$101,"&gt;=10",상품목록!$K$2:$K$101,"&lt;=19")</f>
        <v/>
      </c>
      <c r="L16" s="2">
        <f>COUNTIFS(상품목록!$B$2:$B$101,A16,상품목록!$C$2:$C$101,B16,상품목록!$AC$2:$AC$101,"Y",상품목록!$K$2:$K$101,"&gt;=20",상품목록!$K$2:$K$101,"&lt;=29")</f>
        <v/>
      </c>
      <c r="M16" s="2">
        <f>COUNTIFS(상품목록!$B$2:$B$101,A16,상품목록!$C$2:$C$101,B16,상품목록!$AC$2:$AC$101,"Y",상품목록!$K$2:$K$101,"&gt;=30",상품목록!$K$2:$K$101,"&lt;=39")</f>
        <v/>
      </c>
      <c r="N16" s="2">
        <f>COUNTIFS(상품목록!$B$2:$B$101,A16,상품목록!$C$2:$C$101,B16,상품목록!$AC$2:$AC$101,"Y",상품목록!$K$2:$K$101,"&gt;=40",상품목록!$K$2:$K$101,"&lt;=49")</f>
        <v/>
      </c>
      <c r="O16" s="2">
        <f>COUNTIFS(상품목록!$B$2:$B$101,A16,상품목록!$C$2:$C$101,B16,상품목록!$AC$2:$AC$101,"Y",상품목록!$K$2:$K$101,"&gt;=50",상품목록!$K$2:$K$101,"&lt;=1000")</f>
        <v/>
      </c>
    </row>
    <row r="17">
      <c r="A17" s="3" t="inlineStr">
        <is>
          <t>전체</t>
        </is>
      </c>
      <c r="B17" s="3" t="inlineStr"/>
      <c r="C17" s="3">
        <f>COUNTA(상품목록!$A$2:$A$101)</f>
        <v/>
      </c>
      <c r="D17" s="3">
        <f>COUNTIF(상품목록!$AC$2:$AC$101,"Y")</f>
        <v/>
      </c>
      <c r="E17" s="3">
        <f>ROUND(AVERAGEIF(상품목록!$AC$2:$AC$101,"Y",상품목록!$K$2:$K$101),1)</f>
        <v/>
      </c>
      <c r="F17" s="3">
        <f t="array" ref="F17">MEDIAN(IF(상품목록!$AC$2:$AC$101="Y",상품목록!$K$2:$K$101))</f>
        <v/>
      </c>
      <c r="G17" s="3">
        <f>_xlfn.MINIFS(상품목록!$K$2:$K$101,상품목록!$AC$2:$AC$101,"Y")</f>
        <v/>
      </c>
      <c r="H17" s="3">
        <f>_xlfn.MAXIFS(상품목록!$K$2:$K$101,상품목록!$AC$2:$AC$101,"Y")</f>
        <v/>
      </c>
      <c r="I17" s="3">
        <f>ROUND(AVERAGEIF(상품목록!$AC$2:$AC$101,"Y",상품목록!$J$2:$J$101),0)</f>
        <v/>
      </c>
      <c r="J17" s="3">
        <f>COUNTIFS(상품목록!$AC$2:$AC$101,"Y",상품목록!$K$2:$K$101,"&gt;=0",상품목록!$K$2:$K$101,"&lt;=9")</f>
        <v/>
      </c>
      <c r="K17" s="3">
        <f>COUNTIFS(상품목록!$AC$2:$AC$101,"Y",상품목록!$K$2:$K$101,"&gt;=10",상품목록!$K$2:$K$101,"&lt;=19")</f>
        <v/>
      </c>
      <c r="L17" s="3">
        <f>COUNTIFS(상품목록!$AC$2:$AC$101,"Y",상품목록!$K$2:$K$101,"&gt;=20",상품목록!$K$2:$K$101,"&lt;=29")</f>
        <v/>
      </c>
      <c r="M17" s="3">
        <f>COUNTIFS(상품목록!$AC$2:$AC$101,"Y",상품목록!$K$2:$K$101,"&gt;=30",상품목록!$K$2:$K$101,"&lt;=39")</f>
        <v/>
      </c>
      <c r="N17" s="3">
        <f>COUNTIFS(상품목록!$AC$2:$AC$101,"Y",상품목록!$K$2:$K$101,"&gt;=40",상품목록!$K$2:$K$101,"&lt;=49")</f>
        <v/>
      </c>
      <c r="O17" s="3">
        <f>COUNTIFS(상품목록!$AC$2:$AC$101,"Y",상품목록!$K$2:$K$101,"&gt;=50",상품목록!$K$2:$K$101,"&lt;=1000")</f>
        <v/>
      </c>
    </row>
    <row r="19">
      <c r="A19" s="2" t="inlineStr">
        <is>
          <t>가격대상 = 광고상품·가격 없음 제외 (상품목록 priced=Y). 할인율은 사이트 표기값.</t>
        </is>
      </c>
    </row>
    <row r="20">
      <c r="A20" s="2" t="inlineStr">
        <is>
          <t>대분류·소분류는 상품목록 cat1·cat2 일치로 셈 (수집 시점 복수 카테고리 상품 없음). 중간값 열은 배열수식.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4" customWidth="1" min="5" max="5"/>
    <col width="14" customWidth="1" min="6" max="6"/>
    <col width="14" customWidth="1" min="7" max="7"/>
    <col width="14" customWidth="1" min="8" max="8"/>
    <col width="30" customWidth="1" min="9" max="9"/>
    <col width="14" customWidth="1" min="10" max="10"/>
    <col width="14" customWidth="1" min="11" max="11"/>
    <col width="14" customWidth="1" min="12" max="12"/>
    <col width="34" customWidth="1" min="13" max="13"/>
  </cols>
  <sheetData>
    <row r="1">
      <c r="A1" s="1" t="inlineStr">
        <is>
          <t>시도</t>
        </is>
      </c>
      <c r="B1" s="1" t="inlineStr">
        <is>
          <t>product_id</t>
        </is>
      </c>
      <c r="C1" s="1" t="inlineStr">
        <is>
          <t>cat2</t>
        </is>
      </c>
      <c r="D1" s="1" t="inlineStr">
        <is>
          <t>region</t>
        </is>
      </c>
      <c r="E1" s="1" t="inlineStr">
        <is>
          <t>name</t>
        </is>
      </c>
      <c r="F1" s="1" t="inlineStr">
        <is>
          <t>list_price</t>
        </is>
      </c>
      <c r="G1" s="1" t="inlineStr">
        <is>
          <t>sale_price</t>
        </is>
      </c>
      <c r="H1" s="1" t="inlineStr">
        <is>
          <t>discount_pct</t>
        </is>
      </c>
      <c r="I1" s="1" t="inlineStr">
        <is>
          <t>basis</t>
        </is>
      </c>
      <c r="J1" s="1" t="inlineStr">
        <is>
          <t>issue_type</t>
        </is>
      </c>
      <c r="K1" s="1" t="inlineStr">
        <is>
          <t>issue_channel</t>
        </is>
      </c>
      <c r="L1" s="1" t="inlineStr">
        <is>
          <t>vendor_name</t>
        </is>
      </c>
      <c r="M1" s="1" t="inlineStr">
        <is>
          <t>vendor_address</t>
        </is>
      </c>
    </row>
    <row r="2">
      <c r="A2" s="2" t="inlineStr">
        <is>
          <t>서울;충남</t>
        </is>
      </c>
      <c r="B2" s="2" t="inlineStr">
        <is>
          <t>243478</t>
        </is>
      </c>
      <c r="C2" s="2" t="inlineStr">
        <is>
          <t>라식·라섹</t>
        </is>
      </c>
      <c r="D2" s="2" t="inlineStr">
        <is>
          <t>서울/천안</t>
        </is>
      </c>
      <c r="E2" s="2" t="inlineStr">
        <is>
          <t>삼성미라클안과 라식·라섹</t>
        </is>
      </c>
      <c r="F2" s="2" t="n">
        <v>1600000</v>
      </c>
      <c r="G2" s="2" t="n">
        <v>890000</v>
      </c>
      <c r="H2" s="2" t="n">
        <v>44</v>
      </c>
      <c r="I2" s="2" t="inlineStr">
        <is>
          <t>미라클라섹</t>
        </is>
      </c>
      <c r="J2" s="2" t="inlineStr">
        <is>
          <t>광고상품</t>
        </is>
      </c>
      <c r="K2" s="2" t="inlineStr"/>
      <c r="L2" s="2" t="inlineStr">
        <is>
          <t>삼성미라클안과</t>
        </is>
      </c>
      <c r="M2" s="2" t="inlineStr"/>
    </row>
    <row r="3">
      <c r="A3" s="2" t="inlineStr">
        <is>
          <t>충남</t>
        </is>
      </c>
      <c r="B3" s="2" t="inlineStr">
        <is>
          <t>330442</t>
        </is>
      </c>
      <c r="C3" s="2" t="inlineStr">
        <is>
          <t>워터파크</t>
        </is>
      </c>
      <c r="D3" s="2" t="inlineStr">
        <is>
          <t>아산</t>
        </is>
      </c>
      <c r="E3" s="2" t="inlineStr">
        <is>
          <t>아산스파비스</t>
        </is>
      </c>
      <c r="F3" s="2" t="n">
        <v>50000</v>
      </c>
      <c r="G3" s="2" t="n">
        <v>20000</v>
      </c>
      <c r="H3" s="2" t="n">
        <v>60</v>
      </c>
      <c r="I3" s="2" t="inlineStr">
        <is>
          <t>주중·주말공통이용권 아산스파비스(~26/12/31)</t>
        </is>
      </c>
      <c r="J3" s="2" t="inlineStr">
        <is>
          <t>즉시발송</t>
        </is>
      </c>
      <c r="K3" s="2" t="inlineStr">
        <is>
          <t>LMS 문자</t>
        </is>
      </c>
      <c r="L3" s="2" t="inlineStr">
        <is>
          <t>아산스파비스</t>
        </is>
      </c>
      <c r="M3" s="2" t="inlineStr">
        <is>
          <t>충남 아산시 음봉면 아산온천로157번길 67 아산스파비스</t>
        </is>
      </c>
    </row>
    <row r="4">
      <c r="A4" s="2" t="inlineStr">
        <is>
          <t>충남</t>
        </is>
      </c>
      <c r="B4" s="2" t="inlineStr">
        <is>
          <t>326087</t>
        </is>
      </c>
      <c r="C4" s="2" t="inlineStr">
        <is>
          <t>워터파크</t>
        </is>
      </c>
      <c r="D4" s="2" t="inlineStr">
        <is>
          <t>예산</t>
        </is>
      </c>
      <c r="E4" s="2" t="inlineStr">
        <is>
          <t>스플라스 리솜 워터파크</t>
        </is>
      </c>
      <c r="F4" s="2" t="n">
        <v>40000</v>
      </c>
      <c r="G4" s="2" t="n">
        <v>27400</v>
      </c>
      <c r="H4" s="2" t="n">
        <v>32</v>
      </c>
      <c r="I4" s="2" t="inlineStr">
        <is>
          <t>소인입장권 스플라스 워터파크(8/24~10/31)</t>
        </is>
      </c>
      <c r="J4" s="2" t="inlineStr">
        <is>
          <t>즉시발송</t>
        </is>
      </c>
      <c r="K4" s="2" t="inlineStr">
        <is>
          <t>플레이스토리</t>
        </is>
      </c>
      <c r="L4" s="2" t="inlineStr">
        <is>
          <t>스플라스 리솜 워터파크</t>
        </is>
      </c>
      <c r="M4" s="2" t="inlineStr">
        <is>
          <t>충남 예산군 덕산면 온천단지3로 45-7</t>
        </is>
      </c>
    </row>
    <row r="5">
      <c r="A5" s="2" t="inlineStr">
        <is>
          <t>충남</t>
        </is>
      </c>
      <c r="B5" s="2" t="inlineStr">
        <is>
          <t>326150</t>
        </is>
      </c>
      <c r="C5" s="2" t="inlineStr">
        <is>
          <t>워터파크</t>
        </is>
      </c>
      <c r="D5" s="2" t="inlineStr">
        <is>
          <t>태안</t>
        </is>
      </c>
      <c r="E5" s="2" t="inlineStr">
        <is>
          <t>아일랜드 리솜 오아식스 선셋스파</t>
        </is>
      </c>
      <c r="F5" s="2" t="n">
        <v>40000</v>
      </c>
      <c r="G5" s="2" t="n">
        <v>34500</v>
      </c>
      <c r="H5" s="2" t="n">
        <v>14</v>
      </c>
      <c r="I5" s="2" t="inlineStr">
        <is>
          <t>대인이용권 아일랜드리솜(8/24~10/31)</t>
        </is>
      </c>
      <c r="J5" s="2" t="inlineStr">
        <is>
          <t>즉시발송</t>
        </is>
      </c>
      <c r="K5" s="2" t="inlineStr">
        <is>
          <t>플레이스토리</t>
        </is>
      </c>
      <c r="L5" s="2" t="inlineStr">
        <is>
          <t>아일랜드 리솜 오아식스 선셋스파</t>
        </is>
      </c>
      <c r="M5" s="2" t="inlineStr">
        <is>
          <t>충남 태안군 안면읍 꽃지해안로 204</t>
        </is>
      </c>
    </row>
    <row r="6">
      <c r="A6" s="2" t="inlineStr">
        <is>
          <t>충남</t>
        </is>
      </c>
      <c r="B6" s="2" t="inlineStr">
        <is>
          <t>326465</t>
        </is>
      </c>
      <c r="C6" s="2" t="inlineStr">
        <is>
          <t>워터파크</t>
        </is>
      </c>
      <c r="D6" s="2" t="inlineStr">
        <is>
          <t>아산</t>
        </is>
      </c>
      <c r="E6" s="2" t="inlineStr">
        <is>
          <t>파라다이스 스파 도고</t>
        </is>
      </c>
      <c r="F6" s="2" t="n">
        <v>55000</v>
      </c>
      <c r="G6" s="2" t="n">
        <v>28900</v>
      </c>
      <c r="H6" s="2" t="n">
        <v>47</v>
      </c>
      <c r="I6" s="2" t="inlineStr">
        <is>
          <t>로우시즌 종일권 스파 도고(9/1~12/17)</t>
        </is>
      </c>
      <c r="J6" s="2" t="inlineStr">
        <is>
          <t>즉시발송</t>
        </is>
      </c>
      <c r="K6" s="2" t="inlineStr">
        <is>
          <t>파라다이스 스파 도고</t>
        </is>
      </c>
      <c r="L6" s="2" t="inlineStr">
        <is>
          <t>파라다이스스파도고</t>
        </is>
      </c>
      <c r="M6" s="2" t="inlineStr">
        <is>
          <t>충남 아산시 도고면 도고온천로 176</t>
        </is>
      </c>
    </row>
    <row r="7">
      <c r="A7" s="2" t="inlineStr">
        <is>
          <t>충남</t>
        </is>
      </c>
      <c r="B7" s="2" t="inlineStr">
        <is>
          <t>328481</t>
        </is>
      </c>
      <c r="C7" s="2" t="inlineStr">
        <is>
          <t>숙박</t>
        </is>
      </c>
      <c r="D7" s="2" t="inlineStr">
        <is>
          <t>아산</t>
        </is>
      </c>
      <c r="E7" s="2" t="inlineStr">
        <is>
          <t>파라다이스 스파도고 캐빈파크</t>
        </is>
      </c>
      <c r="F7" s="2" t="n">
        <v>160000</v>
      </c>
      <c r="G7" s="2" t="n">
        <v>156000</v>
      </c>
      <c r="H7" s="2" t="n">
        <v>3</v>
      </c>
      <c r="I7" s="2" t="inlineStr">
        <is>
          <t>디럭스 주중 하반기 로우시즌 ROOM ONLY 파라다이스스파도고캐빈파크</t>
        </is>
      </c>
      <c r="J7" s="2" t="inlineStr">
        <is>
          <t>예약대기</t>
        </is>
      </c>
      <c r="K7" s="2" t="inlineStr">
        <is>
          <t>LMS 문자</t>
        </is>
      </c>
      <c r="L7" s="2" t="inlineStr">
        <is>
          <t>파라다이스 스파도고</t>
        </is>
      </c>
      <c r="M7" s="2" t="inlineStr">
        <is>
          <t>충청남도 아산시 도고면 도고온천로 176</t>
        </is>
      </c>
    </row>
    <row r="8">
      <c r="A8" s="2" t="inlineStr">
        <is>
          <t>충남</t>
        </is>
      </c>
      <c r="B8" s="2" t="inlineStr">
        <is>
          <t>329749</t>
        </is>
      </c>
      <c r="C8" s="2" t="inlineStr">
        <is>
          <t>테마파크</t>
        </is>
      </c>
      <c r="D8" s="2" t="inlineStr">
        <is>
          <t>아산</t>
        </is>
      </c>
      <c r="E8" s="2" t="inlineStr">
        <is>
          <t>아산공룡월드</t>
        </is>
      </c>
      <c r="F8" s="2" t="n">
        <v>20000</v>
      </c>
      <c r="G8" s="2" t="n">
        <v>16200</v>
      </c>
      <c r="H8" s="2" t="n">
        <v>19</v>
      </c>
      <c r="I8" s="2" t="inlineStr">
        <is>
          <t>주중·주말공통 종일권 아산공룡월드(~12/31)</t>
        </is>
      </c>
      <c r="J8" s="2" t="inlineStr">
        <is>
          <t>즉시발송</t>
        </is>
      </c>
      <c r="K8" s="2" t="inlineStr">
        <is>
          <t>엘에스컴퍼니</t>
        </is>
      </c>
      <c r="L8" s="2" t="inlineStr">
        <is>
          <t>아산 공룡월드</t>
        </is>
      </c>
      <c r="M8" s="2" t="inlineStr">
        <is>
          <t>충남 아산시 둔포면 해위안길 127</t>
        </is>
      </c>
    </row>
    <row r="9">
      <c r="A9" s="2" t="inlineStr">
        <is>
          <t>충남</t>
        </is>
      </c>
      <c r="B9" s="2" t="inlineStr">
        <is>
          <t>327662</t>
        </is>
      </c>
      <c r="C9" s="2" t="inlineStr">
        <is>
          <t>테마파크</t>
        </is>
      </c>
      <c r="D9" s="2" t="inlineStr">
        <is>
          <t>천안</t>
        </is>
      </c>
      <c r="E9" s="2" t="inlineStr">
        <is>
          <t>천안 공룡월드&amp;키즈카페</t>
        </is>
      </c>
      <c r="F9" s="2" t="n">
        <v>23000</v>
      </c>
      <c r="G9" s="2" t="n">
        <v>17900</v>
      </c>
      <c r="H9" s="2" t="n">
        <v>22</v>
      </c>
      <c r="I9" s="2" t="inlineStr">
        <is>
          <t>주중 종일권 천안공룡월드(~10/31)</t>
        </is>
      </c>
      <c r="J9" s="2" t="inlineStr">
        <is>
          <t>즉시발송</t>
        </is>
      </c>
      <c r="K9" s="2" t="inlineStr">
        <is>
          <t>엘에스컴퍼니</t>
        </is>
      </c>
      <c r="L9" s="2" t="inlineStr">
        <is>
          <t>천안 공룡월드</t>
        </is>
      </c>
      <c r="M9" s="2" t="inlineStr">
        <is>
          <t>충남 천안시 동남구 청수11로 35 9층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inlineStr">
        <is>
          <t>전북 상품 수</t>
        </is>
      </c>
      <c r="B11" s="2">
        <f>COUNTIF(상품목록!$D$2:$D$101,"*전북*")</f>
        <v/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inlineStr">
        <is>
          <t>충남 상품 수</t>
        </is>
      </c>
      <c r="B12" s="2">
        <f>COUNTIF(상품목록!$D$2:$D$101,"*충남*")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4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product_id</t>
        </is>
      </c>
      <c r="B1" s="1" t="inlineStr">
        <is>
          <t>region</t>
        </is>
      </c>
      <c r="C1" s="1" t="inlineStr">
        <is>
          <t>name</t>
        </is>
      </c>
      <c r="D1" s="1" t="inlineStr">
        <is>
          <t>option</t>
        </is>
      </c>
      <c r="E1" s="1" t="inlineStr">
        <is>
          <t>detail_div</t>
        </is>
      </c>
      <c r="F1" s="1" t="inlineStr">
        <is>
          <t>week_div</t>
        </is>
      </c>
      <c r="G1" s="1" t="inlineStr">
        <is>
          <t>list_price</t>
        </is>
      </c>
      <c r="H1" s="1" t="inlineStr">
        <is>
          <t>sale_price</t>
        </is>
      </c>
      <c r="I1" s="1" t="inlineStr">
        <is>
          <t>discount_pct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issue_channel</t>
        </is>
      </c>
    </row>
    <row r="2">
      <c r="A2" s="2" t="inlineStr">
        <is>
          <t>329434</t>
        </is>
      </c>
      <c r="B2" s="2" t="inlineStr">
        <is>
          <t>의정부</t>
        </is>
      </c>
      <c r="C2" s="2" t="inlineStr">
        <is>
          <t>장암 아일랜드캐슬 워터파크 1인 종일권</t>
        </is>
      </c>
      <c r="D2" s="2" t="inlineStr">
        <is>
          <t>(대소공통)장암 1인 종일권 (9/4~10/31)*구명조끼 미포함</t>
        </is>
      </c>
      <c r="E2" s="2" t="inlineStr">
        <is>
          <t>대소공통</t>
        </is>
      </c>
      <c r="F2" s="2" t="inlineStr">
        <is>
          <t>주중+주말</t>
        </is>
      </c>
      <c r="G2" s="2" t="n">
        <v>45000</v>
      </c>
      <c r="H2" s="2" t="n">
        <v>21000</v>
      </c>
      <c r="I2" s="2" t="n">
        <v>53</v>
      </c>
      <c r="J2" s="2" t="inlineStr">
        <is>
          <t>2026-09-04</t>
        </is>
      </c>
      <c r="K2" s="2" t="inlineStr">
        <is>
          <t>2026-10-31</t>
        </is>
      </c>
      <c r="L2" s="2" t="inlineStr">
        <is>
          <t>LMS 문자</t>
        </is>
      </c>
    </row>
    <row r="3">
      <c r="A3" s="2" t="inlineStr">
        <is>
          <t>330442</t>
        </is>
      </c>
      <c r="B3" s="2" t="inlineStr">
        <is>
          <t>아산</t>
        </is>
      </c>
      <c r="C3" s="2" t="inlineStr">
        <is>
          <t>아산스파비스</t>
        </is>
      </c>
      <c r="D3" s="2" t="inlineStr">
        <is>
          <t>주중·주말공통이용권 아산스파비스(~26/12/31)</t>
        </is>
      </c>
      <c r="E3" s="2" t="inlineStr">
        <is>
          <t>대소공통</t>
        </is>
      </c>
      <c r="F3" s="2" t="inlineStr">
        <is>
          <t>주중+주말</t>
        </is>
      </c>
      <c r="G3" s="2" t="n">
        <v>50000</v>
      </c>
      <c r="H3" s="2" t="n">
        <v>20000</v>
      </c>
      <c r="I3" s="2" t="n">
        <v>60</v>
      </c>
      <c r="J3" s="2" t="inlineStr">
        <is>
          <t>2026-09-29</t>
        </is>
      </c>
      <c r="K3" s="2" t="inlineStr">
        <is>
          <t>2026-12-31</t>
        </is>
      </c>
      <c r="L3" s="2" t="inlineStr">
        <is>
          <t>LMS 문자</t>
        </is>
      </c>
    </row>
    <row r="4">
      <c r="A4" s="2" t="inlineStr">
        <is>
          <t>325961</t>
        </is>
      </c>
      <c r="B4" s="2" t="inlineStr">
        <is>
          <t>정선</t>
        </is>
      </c>
      <c r="C4" s="2" t="inlineStr">
        <is>
          <t>하이원 워터월드</t>
        </is>
      </c>
      <c r="D4" s="2" t="inlineStr">
        <is>
          <t>준성수기 주중 대인권 하이원워터월드(8/31~10/18)</t>
        </is>
      </c>
      <c r="E4" s="2" t="inlineStr">
        <is>
          <t>대인</t>
        </is>
      </c>
      <c r="F4" s="2" t="inlineStr">
        <is>
          <t>주중</t>
        </is>
      </c>
      <c r="G4" s="2" t="n">
        <v>64000</v>
      </c>
      <c r="H4" s="2" t="n">
        <v>28000</v>
      </c>
      <c r="I4" s="2" t="n">
        <v>56</v>
      </c>
      <c r="J4" s="2" t="inlineStr">
        <is>
          <t>2026-08-31</t>
        </is>
      </c>
      <c r="K4" s="2" t="inlineStr">
        <is>
          <t>2026-10-18</t>
        </is>
      </c>
      <c r="L4" s="2" t="inlineStr">
        <is>
          <t>플레이스토리</t>
        </is>
      </c>
    </row>
    <row r="5">
      <c r="A5" s="2" t="inlineStr">
        <is>
          <t>325961</t>
        </is>
      </c>
      <c r="B5" s="2" t="inlineStr">
        <is>
          <t>정선</t>
        </is>
      </c>
      <c r="C5" s="2" t="inlineStr">
        <is>
          <t>하이원 워터월드</t>
        </is>
      </c>
      <c r="D5" s="2" t="inlineStr">
        <is>
          <t>준성수기 주중 소인권 하이원워터월드(8/31~10/18)</t>
        </is>
      </c>
      <c r="E5" s="2" t="inlineStr">
        <is>
          <t>소인</t>
        </is>
      </c>
      <c r="F5" s="2" t="inlineStr">
        <is>
          <t>주중</t>
        </is>
      </c>
      <c r="G5" s="2" t="n">
        <v>53000</v>
      </c>
      <c r="H5" s="2" t="n">
        <v>26000</v>
      </c>
      <c r="I5" s="2" t="n">
        <v>51</v>
      </c>
      <c r="J5" s="2" t="inlineStr">
        <is>
          <t>2026-08-31</t>
        </is>
      </c>
      <c r="K5" s="2" t="inlineStr">
        <is>
          <t>2026-10-18</t>
        </is>
      </c>
      <c r="L5" s="2" t="inlineStr">
        <is>
          <t>플레이스토리</t>
        </is>
      </c>
    </row>
    <row r="6">
      <c r="A6" s="2" t="inlineStr">
        <is>
          <t>325961</t>
        </is>
      </c>
      <c r="B6" s="2" t="inlineStr">
        <is>
          <t>정선</t>
        </is>
      </c>
      <c r="C6" s="2" t="inlineStr">
        <is>
          <t>하이원 워터월드</t>
        </is>
      </c>
      <c r="D6" s="2" t="inlineStr">
        <is>
          <t>준성수기 주말 대인권 하이원워터월드(8/31~10/18)</t>
        </is>
      </c>
      <c r="E6" s="2" t="inlineStr">
        <is>
          <t>대인</t>
        </is>
      </c>
      <c r="F6" s="2" t="inlineStr">
        <is>
          <t>주말</t>
        </is>
      </c>
      <c r="G6" s="2" t="n">
        <v>64000</v>
      </c>
      <c r="H6" s="2" t="n">
        <v>31000</v>
      </c>
      <c r="I6" s="2" t="n">
        <v>52</v>
      </c>
      <c r="J6" s="2" t="inlineStr">
        <is>
          <t>2026-08-31</t>
        </is>
      </c>
      <c r="K6" s="2" t="inlineStr">
        <is>
          <t>2026-10-18</t>
        </is>
      </c>
      <c r="L6" s="2" t="inlineStr">
        <is>
          <t>플레이스토리</t>
        </is>
      </c>
    </row>
    <row r="7">
      <c r="A7" s="2" t="inlineStr">
        <is>
          <t>325961</t>
        </is>
      </c>
      <c r="B7" s="2" t="inlineStr">
        <is>
          <t>정선</t>
        </is>
      </c>
      <c r="C7" s="2" t="inlineStr">
        <is>
          <t>하이원 워터월드</t>
        </is>
      </c>
      <c r="D7" s="2" t="inlineStr">
        <is>
          <t>준성수기 주말 소인권 하이원워터월드(8/31~10/18)</t>
        </is>
      </c>
      <c r="E7" s="2" t="inlineStr">
        <is>
          <t>소인</t>
        </is>
      </c>
      <c r="F7" s="2" t="inlineStr">
        <is>
          <t>주말</t>
        </is>
      </c>
      <c r="G7" s="2" t="n">
        <v>53000</v>
      </c>
      <c r="H7" s="2" t="n">
        <v>28500</v>
      </c>
      <c r="I7" s="2" t="n">
        <v>46</v>
      </c>
      <c r="J7" s="2" t="inlineStr">
        <is>
          <t>2026-08-31</t>
        </is>
      </c>
      <c r="K7" s="2" t="inlineStr">
        <is>
          <t>2026-10-18</t>
        </is>
      </c>
      <c r="L7" s="2" t="inlineStr">
        <is>
          <t>플레이스토리</t>
        </is>
      </c>
    </row>
    <row r="8">
      <c r="A8" s="2" t="inlineStr">
        <is>
          <t>326087</t>
        </is>
      </c>
      <c r="B8" s="2" t="inlineStr">
        <is>
          <t>예산</t>
        </is>
      </c>
      <c r="C8" s="2" t="inlineStr">
        <is>
          <t>스플라스 리솜 워터파크</t>
        </is>
      </c>
      <c r="D8" s="2" t="inlineStr">
        <is>
          <t>소인입장권 스플라스 워터파크(8/24~10/31)</t>
        </is>
      </c>
      <c r="E8" s="2" t="inlineStr">
        <is>
          <t>소인</t>
        </is>
      </c>
      <c r="F8" s="2" t="inlineStr">
        <is>
          <t>주중+주말</t>
        </is>
      </c>
      <c r="G8" s="2" t="n">
        <v>40000</v>
      </c>
      <c r="H8" s="2" t="n">
        <v>27400</v>
      </c>
      <c r="I8" s="2" t="n">
        <v>32</v>
      </c>
      <c r="J8" s="2" t="inlineStr">
        <is>
          <t>2026-08-24</t>
        </is>
      </c>
      <c r="K8" s="2" t="inlineStr">
        <is>
          <t>2026-10-31</t>
        </is>
      </c>
      <c r="L8" s="2" t="inlineStr">
        <is>
          <t>플레이스토리</t>
        </is>
      </c>
    </row>
    <row r="9">
      <c r="A9" s="2" t="inlineStr">
        <is>
          <t>326087</t>
        </is>
      </c>
      <c r="B9" s="2" t="inlineStr">
        <is>
          <t>예산</t>
        </is>
      </c>
      <c r="C9" s="2" t="inlineStr">
        <is>
          <t>스플라스 리솜 워터파크</t>
        </is>
      </c>
      <c r="D9" s="2" t="inlineStr">
        <is>
          <t>대인입장권 스플라스 워터파크(8/24~10/31)</t>
        </is>
      </c>
      <c r="E9" s="2" t="inlineStr">
        <is>
          <t>대인</t>
        </is>
      </c>
      <c r="F9" s="2" t="inlineStr">
        <is>
          <t>주중+주말</t>
        </is>
      </c>
      <c r="G9" s="2" t="n">
        <v>55000</v>
      </c>
      <c r="H9" s="2" t="n">
        <v>37800</v>
      </c>
      <c r="I9" s="2" t="n">
        <v>31</v>
      </c>
      <c r="J9" s="2" t="inlineStr">
        <is>
          <t>2026-08-24</t>
        </is>
      </c>
      <c r="K9" s="2" t="inlineStr">
        <is>
          <t>2026-10-31</t>
        </is>
      </c>
      <c r="L9" s="2" t="inlineStr">
        <is>
          <t>플레이스토리</t>
        </is>
      </c>
    </row>
    <row r="10">
      <c r="A10" s="2" t="inlineStr">
        <is>
          <t>326024</t>
        </is>
      </c>
      <c r="B10" s="2" t="inlineStr">
        <is>
          <t>제천</t>
        </is>
      </c>
      <c r="C10" s="2" t="inlineStr">
        <is>
          <t>포레스트 리솜 해브나인 웰니스 스파</t>
        </is>
      </c>
      <c r="D10" s="2" t="inlineStr">
        <is>
          <t>소인이용권 포레스트리솜(8/24~10/31)</t>
        </is>
      </c>
      <c r="E10" s="2" t="inlineStr">
        <is>
          <t>소인</t>
        </is>
      </c>
      <c r="F10" s="2" t="inlineStr">
        <is>
          <t>주중+주말</t>
        </is>
      </c>
      <c r="G10" s="2" t="n">
        <v>45000</v>
      </c>
      <c r="H10" s="2" t="n">
        <v>31000</v>
      </c>
      <c r="I10" s="2" t="n">
        <v>31</v>
      </c>
      <c r="J10" s="2" t="inlineStr">
        <is>
          <t>2026-08-24</t>
        </is>
      </c>
      <c r="K10" s="2" t="inlineStr">
        <is>
          <t>2026-10-31</t>
        </is>
      </c>
      <c r="L10" s="2" t="inlineStr">
        <is>
          <t>플레이스토리</t>
        </is>
      </c>
    </row>
    <row r="11">
      <c r="A11" s="2" t="inlineStr">
        <is>
          <t>326024</t>
        </is>
      </c>
      <c r="B11" s="2" t="inlineStr">
        <is>
          <t>제천</t>
        </is>
      </c>
      <c r="C11" s="2" t="inlineStr">
        <is>
          <t>포레스트 리솜 해브나인 웰니스 스파</t>
        </is>
      </c>
      <c r="D11" s="2" t="inlineStr">
        <is>
          <t>대인이용권 포레스트리솜(8/24~10/31)</t>
        </is>
      </c>
      <c r="E11" s="2" t="inlineStr">
        <is>
          <t>대인</t>
        </is>
      </c>
      <c r="F11" s="2" t="inlineStr">
        <is>
          <t>주중+주말</t>
        </is>
      </c>
      <c r="G11" s="2" t="n">
        <v>60000</v>
      </c>
      <c r="H11" s="2" t="n">
        <v>41200</v>
      </c>
      <c r="I11" s="2" t="n">
        <v>31</v>
      </c>
      <c r="J11" s="2" t="inlineStr">
        <is>
          <t>2026-08-24</t>
        </is>
      </c>
      <c r="K11" s="2" t="inlineStr">
        <is>
          <t>2026-10-31</t>
        </is>
      </c>
      <c r="L11" s="2" t="inlineStr">
        <is>
          <t>플레이스토리</t>
        </is>
      </c>
    </row>
    <row r="12">
      <c r="A12" s="2" t="inlineStr">
        <is>
          <t>326150</t>
        </is>
      </c>
      <c r="B12" s="2" t="inlineStr">
        <is>
          <t>태안</t>
        </is>
      </c>
      <c r="C12" s="2" t="inlineStr">
        <is>
          <t>아일랜드 리솜 오아식스 선셋스파</t>
        </is>
      </c>
      <c r="D12" s="2" t="inlineStr">
        <is>
          <t>대인이용권 아일랜드리솜(8/24~10/31)</t>
        </is>
      </c>
      <c r="E12" s="2" t="inlineStr">
        <is>
          <t>대인</t>
        </is>
      </c>
      <c r="F12" s="2" t="inlineStr">
        <is>
          <t>주중+주말</t>
        </is>
      </c>
      <c r="G12" s="2" t="n">
        <v>40000</v>
      </c>
      <c r="H12" s="2" t="n">
        <v>34500</v>
      </c>
      <c r="I12" s="2" t="n">
        <v>14</v>
      </c>
      <c r="J12" s="2" t="inlineStr">
        <is>
          <t>2026-08-24</t>
        </is>
      </c>
      <c r="K12" s="2" t="inlineStr">
        <is>
          <t>2026-10-31</t>
        </is>
      </c>
      <c r="L12" s="2" t="inlineStr">
        <is>
          <t>플레이스토리</t>
        </is>
      </c>
    </row>
    <row r="13">
      <c r="A13" s="2" t="inlineStr">
        <is>
          <t>326465</t>
        </is>
      </c>
      <c r="B13" s="2" t="inlineStr">
        <is>
          <t>아산</t>
        </is>
      </c>
      <c r="C13" s="2" t="inlineStr">
        <is>
          <t>파라다이스 스파 도고</t>
        </is>
      </c>
      <c r="D13" s="2" t="inlineStr">
        <is>
          <t>로우시즌 종일권 스파 도고(9/1~12/17)</t>
        </is>
      </c>
      <c r="E13" s="2" t="inlineStr">
        <is>
          <t>대소공통</t>
        </is>
      </c>
      <c r="F13" s="2" t="inlineStr">
        <is>
          <t>주중+주말</t>
        </is>
      </c>
      <c r="G13" s="2" t="n">
        <v>55000</v>
      </c>
      <c r="H13" s="2" t="n">
        <v>28900</v>
      </c>
      <c r="I13" s="2" t="n">
        <v>47</v>
      </c>
      <c r="J13" s="2" t="inlineStr">
        <is>
          <t>2026-09-01</t>
        </is>
      </c>
      <c r="K13" s="2" t="inlineStr">
        <is>
          <t>2026-12-17</t>
        </is>
      </c>
      <c r="L13" s="2" t="inlineStr">
        <is>
          <t>파라다이스 스파 도고</t>
        </is>
      </c>
    </row>
    <row r="14">
      <c r="A14" s="2" t="inlineStr">
        <is>
          <t>325709</t>
        </is>
      </c>
      <c r="B14" s="2" t="inlineStr">
        <is>
          <t>속초</t>
        </is>
      </c>
      <c r="C14" s="2" t="inlineStr">
        <is>
          <t>설악 워터피아</t>
        </is>
      </c>
      <c r="D14" s="2" t="inlineStr">
        <is>
          <t>2인 주간권 미들시즌 설악워터피아(8/24~10/11)</t>
        </is>
      </c>
      <c r="E14" s="2" t="inlineStr">
        <is>
          <t>대소공통</t>
        </is>
      </c>
      <c r="F14" s="2" t="inlineStr">
        <is>
          <t>주중+주말</t>
        </is>
      </c>
      <c r="G14" s="2" t="n">
        <v>124000</v>
      </c>
      <c r="H14" s="2" t="n">
        <v>68000</v>
      </c>
      <c r="I14" s="2" t="n">
        <v>45</v>
      </c>
      <c r="J14" s="2" t="inlineStr">
        <is>
          <t>2026-08-24</t>
        </is>
      </c>
      <c r="K14" s="2" t="inlineStr">
        <is>
          <t>2026-10-11</t>
        </is>
      </c>
      <c r="L14" s="2" t="inlineStr">
        <is>
          <t>엘에스컴퍼니</t>
        </is>
      </c>
    </row>
    <row r="15">
      <c r="A15" s="2" t="inlineStr">
        <is>
          <t>325709</t>
        </is>
      </c>
      <c r="B15" s="2" t="inlineStr">
        <is>
          <t>속초</t>
        </is>
      </c>
      <c r="C15" s="2" t="inlineStr">
        <is>
          <t>설악 워터피아</t>
        </is>
      </c>
      <c r="D15" s="2" t="inlineStr">
        <is>
          <t>3인 주간권 미들시즌 설악워터피아(8/24~10/11)</t>
        </is>
      </c>
      <c r="E15" s="2" t="inlineStr">
        <is>
          <t>대소공통</t>
        </is>
      </c>
      <c r="F15" s="2" t="inlineStr">
        <is>
          <t>주중+주말</t>
        </is>
      </c>
      <c r="G15" s="2" t="n">
        <v>186000</v>
      </c>
      <c r="H15" s="2" t="n">
        <v>96900</v>
      </c>
      <c r="I15" s="2" t="n">
        <v>48</v>
      </c>
      <c r="J15" s="2" t="inlineStr">
        <is>
          <t>2026-08-24</t>
        </is>
      </c>
      <c r="K15" s="2" t="inlineStr">
        <is>
          <t>2026-10-11</t>
        </is>
      </c>
      <c r="L15" s="2" t="inlineStr">
        <is>
          <t>엘에스컴퍼니</t>
        </is>
      </c>
    </row>
    <row r="16">
      <c r="A16" s="2" t="inlineStr">
        <is>
          <t>325709</t>
        </is>
      </c>
      <c r="B16" s="2" t="inlineStr">
        <is>
          <t>속초</t>
        </is>
      </c>
      <c r="C16" s="2" t="inlineStr">
        <is>
          <t>설악 워터피아</t>
        </is>
      </c>
      <c r="D16" s="2" t="inlineStr">
        <is>
          <t>4인 주간권 미들시즌 설악워터피아(8/24~10/11)</t>
        </is>
      </c>
      <c r="E16" s="2" t="inlineStr">
        <is>
          <t>대소공통</t>
        </is>
      </c>
      <c r="F16" s="2" t="inlineStr">
        <is>
          <t>주중+주말</t>
        </is>
      </c>
      <c r="G16" s="2" t="n">
        <v>248000</v>
      </c>
      <c r="H16" s="2" t="n">
        <v>126000</v>
      </c>
      <c r="I16" s="2" t="n">
        <v>49</v>
      </c>
      <c r="J16" s="2" t="inlineStr">
        <is>
          <t>2026-08-24</t>
        </is>
      </c>
      <c r="K16" s="2" t="inlineStr">
        <is>
          <t>2026-10-11</t>
        </is>
      </c>
      <c r="L16" s="2" t="inlineStr">
        <is>
          <t>엘에스컴퍼니</t>
        </is>
      </c>
    </row>
    <row r="17">
      <c r="A17" s="2" t="inlineStr">
        <is>
          <t>325709</t>
        </is>
      </c>
      <c r="B17" s="2" t="inlineStr">
        <is>
          <t>속초</t>
        </is>
      </c>
      <c r="C17" s="2" t="inlineStr">
        <is>
          <t>설악 워터피아</t>
        </is>
      </c>
      <c r="D17" s="2" t="inlineStr">
        <is>
          <t>2인 나이트스파 미들시즌 설악워터피아(8/24~10/11)</t>
        </is>
      </c>
      <c r="E17" s="2" t="inlineStr">
        <is>
          <t>대소공통</t>
        </is>
      </c>
      <c r="F17" s="2" t="inlineStr">
        <is>
          <t>주중+주말</t>
        </is>
      </c>
      <c r="G17" s="2" t="n">
        <v>84000</v>
      </c>
      <c r="H17" s="2" t="n">
        <v>46000</v>
      </c>
      <c r="I17" s="2" t="n">
        <v>45</v>
      </c>
      <c r="J17" s="2" t="inlineStr">
        <is>
          <t>2026-08-24</t>
        </is>
      </c>
      <c r="K17" s="2" t="inlineStr">
        <is>
          <t>2026-10-11</t>
        </is>
      </c>
      <c r="L17" s="2" t="inlineStr">
        <is>
          <t>엘에스컴퍼니</t>
        </is>
      </c>
    </row>
    <row r="18">
      <c r="A18" s="2" t="inlineStr">
        <is>
          <t>325709</t>
        </is>
      </c>
      <c r="B18" s="2" t="inlineStr">
        <is>
          <t>속초</t>
        </is>
      </c>
      <c r="C18" s="2" t="inlineStr">
        <is>
          <t>설악 워터피아</t>
        </is>
      </c>
      <c r="D18" s="2" t="inlineStr">
        <is>
          <t>3인 나이트스파 미들시즌 설악워터피아(8/24~10/11)</t>
        </is>
      </c>
      <c r="E18" s="2" t="inlineStr">
        <is>
          <t>대소공통</t>
        </is>
      </c>
      <c r="F18" s="2" t="inlineStr">
        <is>
          <t>주중+주말</t>
        </is>
      </c>
      <c r="G18" s="2" t="n">
        <v>126000</v>
      </c>
      <c r="H18" s="2" t="n">
        <v>65400</v>
      </c>
      <c r="I18" s="2" t="n">
        <v>48</v>
      </c>
      <c r="J18" s="2" t="inlineStr">
        <is>
          <t>2026-08-24</t>
        </is>
      </c>
      <c r="K18" s="2" t="inlineStr">
        <is>
          <t>2026-10-11</t>
        </is>
      </c>
      <c r="L18" s="2" t="inlineStr">
        <is>
          <t>엘에스컴퍼니</t>
        </is>
      </c>
    </row>
    <row r="19">
      <c r="A19" s="2" t="inlineStr">
        <is>
          <t>325709</t>
        </is>
      </c>
      <c r="B19" s="2" t="inlineStr">
        <is>
          <t>속초</t>
        </is>
      </c>
      <c r="C19" s="2" t="inlineStr">
        <is>
          <t>설악 워터피아</t>
        </is>
      </c>
      <c r="D19" s="2" t="inlineStr">
        <is>
          <t>4인 나이트스파 미들시즌 설악워터피아(8/24~10/11)</t>
        </is>
      </c>
      <c r="E19" s="2" t="inlineStr">
        <is>
          <t>대소공통</t>
        </is>
      </c>
      <c r="F19" s="2" t="inlineStr">
        <is>
          <t>주중+주말</t>
        </is>
      </c>
      <c r="G19" s="2" t="n">
        <v>168000</v>
      </c>
      <c r="H19" s="2" t="n">
        <v>85000</v>
      </c>
      <c r="I19" s="2" t="n">
        <v>49</v>
      </c>
      <c r="J19" s="2" t="inlineStr">
        <is>
          <t>2026-08-24</t>
        </is>
      </c>
      <c r="K19" s="2" t="inlineStr">
        <is>
          <t>2026-10-11</t>
        </is>
      </c>
      <c r="L19" s="2" t="inlineStr">
        <is>
          <t>엘에스컴퍼니</t>
        </is>
      </c>
    </row>
    <row r="20">
      <c r="A20" s="2" t="inlineStr">
        <is>
          <t>325709</t>
        </is>
      </c>
      <c r="B20" s="2" t="inlineStr">
        <is>
          <t>속초</t>
        </is>
      </c>
      <c r="C20" s="2" t="inlineStr">
        <is>
          <t>설악 워터피아</t>
        </is>
      </c>
      <c r="D20" s="2" t="inlineStr">
        <is>
          <t>2인 종일권 미들시즌 설악워터피아(8/24~10/11)</t>
        </is>
      </c>
      <c r="E20" s="2" t="inlineStr">
        <is>
          <t>대소공통</t>
        </is>
      </c>
      <c r="F20" s="2" t="inlineStr">
        <is>
          <t>주중+주말</t>
        </is>
      </c>
      <c r="G20" s="2" t="n">
        <v>160000</v>
      </c>
      <c r="H20" s="2" t="n">
        <v>88000</v>
      </c>
      <c r="I20" s="2" t="n">
        <v>45</v>
      </c>
      <c r="J20" s="2" t="inlineStr">
        <is>
          <t>2026-08-24</t>
        </is>
      </c>
      <c r="K20" s="2" t="inlineStr">
        <is>
          <t>2026-10-11</t>
        </is>
      </c>
      <c r="L20" s="2" t="inlineStr">
        <is>
          <t>엘에스컴퍼니</t>
        </is>
      </c>
    </row>
    <row r="21">
      <c r="A21" s="2" t="inlineStr">
        <is>
          <t>325709</t>
        </is>
      </c>
      <c r="B21" s="2" t="inlineStr">
        <is>
          <t>속초</t>
        </is>
      </c>
      <c r="C21" s="2" t="inlineStr">
        <is>
          <t>설악 워터피아</t>
        </is>
      </c>
      <c r="D21" s="2" t="inlineStr">
        <is>
          <t>3인 종일권 미들시즌 설악워터피아(8/24~10/11)</t>
        </is>
      </c>
      <c r="E21" s="2" t="inlineStr">
        <is>
          <t>대소공통</t>
        </is>
      </c>
      <c r="F21" s="2" t="inlineStr">
        <is>
          <t>주중+주말</t>
        </is>
      </c>
      <c r="G21" s="2" t="n">
        <v>240000</v>
      </c>
      <c r="H21" s="2" t="n">
        <v>124800</v>
      </c>
      <c r="I21" s="2" t="n">
        <v>48</v>
      </c>
      <c r="J21" s="2" t="inlineStr">
        <is>
          <t>2026-08-24</t>
        </is>
      </c>
      <c r="K21" s="2" t="inlineStr">
        <is>
          <t>2026-10-11</t>
        </is>
      </c>
      <c r="L21" s="2" t="inlineStr">
        <is>
          <t>엘에스컴퍼니</t>
        </is>
      </c>
    </row>
    <row r="22">
      <c r="A22" s="2" t="inlineStr">
        <is>
          <t>325709</t>
        </is>
      </c>
      <c r="B22" s="2" t="inlineStr">
        <is>
          <t>속초</t>
        </is>
      </c>
      <c r="C22" s="2" t="inlineStr">
        <is>
          <t>설악 워터피아</t>
        </is>
      </c>
      <c r="D22" s="2" t="inlineStr">
        <is>
          <t>4인 종일권 미들시즌 설악워터피아(8/24~10/11)</t>
        </is>
      </c>
      <c r="E22" s="2" t="inlineStr">
        <is>
          <t>대소공통</t>
        </is>
      </c>
      <c r="F22" s="2" t="inlineStr">
        <is>
          <t>주중+주말</t>
        </is>
      </c>
      <c r="G22" s="2" t="n">
        <v>320000</v>
      </c>
      <c r="H22" s="2" t="n">
        <v>162000</v>
      </c>
      <c r="I22" s="2" t="n">
        <v>49</v>
      </c>
      <c r="J22" s="2" t="inlineStr">
        <is>
          <t>2026-08-24</t>
        </is>
      </c>
      <c r="K22" s="2" t="inlineStr">
        <is>
          <t>2026-10-11</t>
        </is>
      </c>
      <c r="L22" s="2" t="inlineStr">
        <is>
          <t>엘에스컴퍼니</t>
        </is>
      </c>
    </row>
    <row r="23">
      <c r="A23" s="2" t="inlineStr">
        <is>
          <t>330127</t>
        </is>
      </c>
      <c r="B23" s="2" t="inlineStr">
        <is>
          <t>부천</t>
        </is>
      </c>
      <c r="C23" s="2" t="inlineStr">
        <is>
          <t>웅진플레이도시 워터파크</t>
        </is>
      </c>
      <c r="D23" s="2" t="inlineStr">
        <is>
          <t>종일권 로우시즌 웅진플레이도시(~10/31)</t>
        </is>
      </c>
      <c r="E23" s="2" t="inlineStr">
        <is>
          <t>대소공통</t>
        </is>
      </c>
      <c r="F23" s="2" t="inlineStr">
        <is>
          <t>주중+주말</t>
        </is>
      </c>
      <c r="G23" s="2" t="n">
        <v>60000</v>
      </c>
      <c r="H23" s="2" t="n">
        <v>27000</v>
      </c>
      <c r="I23" s="2" t="n">
        <v>55</v>
      </c>
      <c r="J23" s="2" t="inlineStr">
        <is>
          <t>2026-09-07</t>
        </is>
      </c>
      <c r="K23" s="2" t="inlineStr">
        <is>
          <t>2026-10-31</t>
        </is>
      </c>
      <c r="L23" s="2" t="inlineStr">
        <is>
          <t>놀이의발견</t>
        </is>
      </c>
    </row>
    <row r="24">
      <c r="A24" s="2" t="inlineStr">
        <is>
          <t>325142</t>
        </is>
      </c>
      <c r="B24" s="2" t="inlineStr">
        <is>
          <t>하남/고양/안성</t>
        </is>
      </c>
      <c r="C24" s="2" t="inlineStr">
        <is>
          <t>아쿠아필드</t>
        </is>
      </c>
      <c r="D24" s="2" t="inlineStr">
        <is>
          <t>워터파크 6시간 이용권 아쿠아필드(3개 지점 중 택1)(8/18~10/26)</t>
        </is>
      </c>
      <c r="E24" s="2" t="inlineStr">
        <is>
          <t>대소공통</t>
        </is>
      </c>
      <c r="F24" s="2" t="inlineStr">
        <is>
          <t>주중+주말</t>
        </is>
      </c>
      <c r="G24" s="2" t="n">
        <v>58000</v>
      </c>
      <c r="H24" s="2" t="n">
        <v>32500</v>
      </c>
      <c r="I24" s="2" t="n">
        <v>44</v>
      </c>
      <c r="J24" s="2" t="inlineStr">
        <is>
          <t>2026-08-18</t>
        </is>
      </c>
      <c r="K24" s="2" t="inlineStr">
        <is>
          <t>2026-10-26</t>
        </is>
      </c>
      <c r="L24" s="2" t="inlineStr">
        <is>
          <t>LMS 문자/순차 발송</t>
        </is>
      </c>
    </row>
    <row r="25">
      <c r="A25" s="2" t="inlineStr">
        <is>
          <t>325142</t>
        </is>
      </c>
      <c r="B25" s="2" t="inlineStr">
        <is>
          <t>하남/고양/안성</t>
        </is>
      </c>
      <c r="C25" s="2" t="inlineStr">
        <is>
          <t>아쿠아필드</t>
        </is>
      </c>
      <c r="D25" s="2" t="inlineStr">
        <is>
          <t>찜질스파 6시간 이용권 아쿠아필드(3개 지점 중 택1)(8/18~10/26)</t>
        </is>
      </c>
      <c r="E25" s="2" t="inlineStr">
        <is>
          <t>대소공통</t>
        </is>
      </c>
      <c r="F25" s="2" t="inlineStr">
        <is>
          <t>주중+주말</t>
        </is>
      </c>
      <c r="G25" s="2" t="n">
        <v>26000</v>
      </c>
      <c r="H25" s="2" t="n">
        <v>19200</v>
      </c>
      <c r="I25" s="2" t="n">
        <v>26</v>
      </c>
      <c r="J25" s="2" t="inlineStr">
        <is>
          <t>2026-08-18</t>
        </is>
      </c>
      <c r="K25" s="2" t="inlineStr">
        <is>
          <t>2026-10-26</t>
        </is>
      </c>
      <c r="L25" s="2" t="inlineStr">
        <is>
          <t>LMS 문자/순차 발송</t>
        </is>
      </c>
    </row>
    <row r="26">
      <c r="A26" s="2" t="inlineStr">
        <is>
          <t>325142</t>
        </is>
      </c>
      <c r="B26" s="2" t="inlineStr">
        <is>
          <t>하남/고양/안성</t>
        </is>
      </c>
      <c r="C26" s="2" t="inlineStr">
        <is>
          <t>아쿠아필드</t>
        </is>
      </c>
      <c r="D26" s="2" t="inlineStr">
        <is>
          <t>멀티패스(워터파크+찜질스파) 9시간 이용권 아쿠아필드(3개 지점 중 택1)(8/18~10/26)</t>
        </is>
      </c>
      <c r="E26" s="2" t="inlineStr">
        <is>
          <t>대소공통</t>
        </is>
      </c>
      <c r="F26" s="2" t="inlineStr">
        <is>
          <t>주중+주말</t>
        </is>
      </c>
      <c r="G26" s="2" t="n">
        <v>68000</v>
      </c>
      <c r="H26" s="2" t="n">
        <v>38000</v>
      </c>
      <c r="I26" s="2" t="n">
        <v>44</v>
      </c>
      <c r="J26" s="2" t="inlineStr">
        <is>
          <t>2026-08-18</t>
        </is>
      </c>
      <c r="K26" s="2" t="inlineStr">
        <is>
          <t>2026-10-26</t>
        </is>
      </c>
      <c r="L26" s="2" t="inlineStr">
        <is>
          <t>LMS 문자/순차 발송</t>
        </is>
      </c>
    </row>
    <row r="27">
      <c r="A27" s="2" t="inlineStr">
        <is>
          <t>328355</t>
        </is>
      </c>
      <c r="B27" s="2" t="inlineStr">
        <is>
          <t>여주</t>
        </is>
      </c>
      <c r="C27" s="2" t="inlineStr">
        <is>
          <t>썬밸리 워터파크</t>
        </is>
      </c>
      <c r="D27" s="2" t="inlineStr">
        <is>
          <t>비수기 대인종일권 썬밸리(8/24~9/30)</t>
        </is>
      </c>
      <c r="E27" s="2" t="inlineStr">
        <is>
          <t>대인</t>
        </is>
      </c>
      <c r="F27" s="2" t="inlineStr">
        <is>
          <t>주중+주말</t>
        </is>
      </c>
      <c r="G27" s="2" t="n">
        <v>38000</v>
      </c>
      <c r="H27" s="2" t="n">
        <v>20700</v>
      </c>
      <c r="I27" s="2" t="n">
        <v>46</v>
      </c>
      <c r="J27" s="2" t="inlineStr">
        <is>
          <t>2026-08-24</t>
        </is>
      </c>
      <c r="K27" s="2" t="inlineStr">
        <is>
          <t>2026-09-30</t>
        </is>
      </c>
      <c r="L27" s="2" t="inlineStr">
        <is>
          <t>LMS 문자</t>
        </is>
      </c>
    </row>
    <row r="28">
      <c r="A28" s="2" t="inlineStr">
        <is>
          <t>328355</t>
        </is>
      </c>
      <c r="B28" s="2" t="inlineStr">
        <is>
          <t>여주</t>
        </is>
      </c>
      <c r="C28" s="2" t="inlineStr">
        <is>
          <t>썬밸리 워터파크</t>
        </is>
      </c>
      <c r="D28" s="2" t="inlineStr">
        <is>
          <t>비수기 소인종일권 썬밸리(8/24~9/30)</t>
        </is>
      </c>
      <c r="E28" s="2" t="inlineStr">
        <is>
          <t>대인</t>
        </is>
      </c>
      <c r="F28" s="2" t="inlineStr">
        <is>
          <t>주중+주말</t>
        </is>
      </c>
      <c r="G28" s="2" t="n">
        <v>38000</v>
      </c>
      <c r="H28" s="2" t="n">
        <v>16000</v>
      </c>
      <c r="I28" s="2" t="n">
        <v>58</v>
      </c>
      <c r="J28" s="2" t="inlineStr">
        <is>
          <t>2026-08-24</t>
        </is>
      </c>
      <c r="K28" s="2" t="inlineStr">
        <is>
          <t>2026-09-30</t>
        </is>
      </c>
      <c r="L28" s="2" t="inlineStr">
        <is>
          <t>LMS 문자</t>
        </is>
      </c>
    </row>
    <row r="29">
      <c r="A29" s="2" t="inlineStr">
        <is>
          <t>328355</t>
        </is>
      </c>
      <c r="B29" s="2" t="inlineStr">
        <is>
          <t>여주</t>
        </is>
      </c>
      <c r="C29" s="2" t="inlineStr">
        <is>
          <t>썬밸리 워터파크</t>
        </is>
      </c>
      <c r="D29" s="2" t="inlineStr">
        <is>
          <t>3인PKG 대소공통 주말 및 공휴일 이용권 썬밸리(~11/29)</t>
        </is>
      </c>
      <c r="E29" s="2" t="inlineStr">
        <is>
          <t>대소공통</t>
        </is>
      </c>
      <c r="F29" s="2" t="inlineStr">
        <is>
          <t>주말</t>
        </is>
      </c>
      <c r="G29" s="2" t="n">
        <v>114000</v>
      </c>
      <c r="H29" s="2" t="n">
        <v>40000</v>
      </c>
      <c r="I29" s="2" t="n">
        <v>65</v>
      </c>
      <c r="J29" s="2" t="inlineStr">
        <is>
          <t>2026-09-08</t>
        </is>
      </c>
      <c r="K29" s="2" t="inlineStr">
        <is>
          <t>2026-11-29</t>
        </is>
      </c>
      <c r="L29" s="2" t="inlineStr">
        <is>
          <t>LMS 문자</t>
        </is>
      </c>
    </row>
    <row r="30">
      <c r="A30" s="2" t="inlineStr">
        <is>
          <t>329497</t>
        </is>
      </c>
      <c r="B30" s="2" t="inlineStr">
        <is>
          <t>부산</t>
        </is>
      </c>
      <c r="C30" s="2" t="inlineStr">
        <is>
          <t>클럽디오아시스 스파&amp;워터파크</t>
        </is>
      </c>
      <c r="D30" s="2" t="inlineStr">
        <is>
          <t>클럽디오아시스 나이트스파권(9/1~9/30)</t>
        </is>
      </c>
      <c r="E30" s="2" t="inlineStr">
        <is>
          <t>대소공통</t>
        </is>
      </c>
      <c r="F30" s="2" t="inlineStr">
        <is>
          <t>주중+주말</t>
        </is>
      </c>
      <c r="G30" s="2" t="n">
        <v>33000</v>
      </c>
      <c r="H30" s="2" t="n">
        <v>17000</v>
      </c>
      <c r="I30" s="2" t="n">
        <v>48</v>
      </c>
      <c r="J30" s="2" t="inlineStr">
        <is>
          <t>2026-09-01</t>
        </is>
      </c>
      <c r="K30" s="2" t="inlineStr">
        <is>
          <t>2026-09-30</t>
        </is>
      </c>
      <c r="L30" s="2" t="inlineStr">
        <is>
          <t>LMS 문자</t>
        </is>
      </c>
    </row>
    <row r="31">
      <c r="A31" s="2" t="inlineStr">
        <is>
          <t>329497</t>
        </is>
      </c>
      <c r="B31" s="2" t="inlineStr">
        <is>
          <t>부산</t>
        </is>
      </c>
      <c r="C31" s="2" t="inlineStr">
        <is>
          <t>클럽디오아시스 스파&amp;워터파크</t>
        </is>
      </c>
      <c r="D31" s="2" t="inlineStr">
        <is>
          <t>클럽디오아시스 스파권(4H)(9/1~9/30)</t>
        </is>
      </c>
      <c r="E31" s="2" t="inlineStr">
        <is>
          <t>대소공통</t>
        </is>
      </c>
      <c r="F31" s="2" t="inlineStr">
        <is>
          <t>주중+주말</t>
        </is>
      </c>
      <c r="G31" s="2" t="n">
        <v>33000</v>
      </c>
      <c r="H31" s="2" t="n">
        <v>20500</v>
      </c>
      <c r="I31" s="2" t="n">
        <v>38</v>
      </c>
      <c r="J31" s="2" t="inlineStr">
        <is>
          <t>2026-09-01</t>
        </is>
      </c>
      <c r="K31" s="2" t="inlineStr">
        <is>
          <t>2026-09-30</t>
        </is>
      </c>
      <c r="L31" s="2" t="inlineStr">
        <is>
          <t>LMS 문자</t>
        </is>
      </c>
    </row>
    <row r="32">
      <c r="A32" s="2" t="inlineStr">
        <is>
          <t>329497</t>
        </is>
      </c>
      <c r="B32" s="2" t="inlineStr">
        <is>
          <t>부산</t>
        </is>
      </c>
      <c r="C32" s="2" t="inlineStr">
        <is>
          <t>클럽디오아시스 스파&amp;워터파크</t>
        </is>
      </c>
      <c r="D32" s="2" t="inlineStr">
        <is>
          <t>클럽디오아시스 스파권(6H)(9/1~9/30)</t>
        </is>
      </c>
      <c r="E32" s="2" t="inlineStr">
        <is>
          <t>대소공통</t>
        </is>
      </c>
      <c r="F32" s="2" t="inlineStr">
        <is>
          <t>주중+주말</t>
        </is>
      </c>
      <c r="G32" s="2" t="n">
        <v>33000</v>
      </c>
      <c r="H32" s="2" t="n">
        <v>24000</v>
      </c>
      <c r="I32" s="2" t="n">
        <v>27</v>
      </c>
      <c r="J32" s="2" t="inlineStr">
        <is>
          <t>2026-09-01</t>
        </is>
      </c>
      <c r="K32" s="2" t="inlineStr">
        <is>
          <t>2026-09-30</t>
        </is>
      </c>
      <c r="L32" s="2" t="inlineStr">
        <is>
          <t>LMS 문자</t>
        </is>
      </c>
    </row>
    <row r="33">
      <c r="A33" s="2" t="inlineStr">
        <is>
          <t>329497</t>
        </is>
      </c>
      <c r="B33" s="2" t="inlineStr">
        <is>
          <t>부산</t>
        </is>
      </c>
      <c r="C33" s="2" t="inlineStr">
        <is>
          <t>클럽디오아시스 스파&amp;워터파크</t>
        </is>
      </c>
      <c r="D33" s="2" t="inlineStr">
        <is>
          <t>클럽디오아시스 워터파크+찜질 통합권(7H)(9/1~9/30)</t>
        </is>
      </c>
      <c r="E33" s="2" t="inlineStr">
        <is>
          <t>대소공통</t>
        </is>
      </c>
      <c r="F33" s="2" t="inlineStr">
        <is>
          <t>주중+주말</t>
        </is>
      </c>
      <c r="G33" s="2" t="n">
        <v>54000</v>
      </c>
      <c r="H33" s="2" t="n">
        <v>28900</v>
      </c>
      <c r="I33" s="2" t="n">
        <v>46</v>
      </c>
      <c r="J33" s="2" t="inlineStr">
        <is>
          <t>2026-09-01</t>
        </is>
      </c>
      <c r="K33" s="2" t="inlineStr">
        <is>
          <t>2026-09-30</t>
        </is>
      </c>
      <c r="L33" s="2" t="inlineStr">
        <is>
          <t>LMS 문자</t>
        </is>
      </c>
    </row>
    <row r="34">
      <c r="A34" s="2" t="inlineStr">
        <is>
          <t>329497</t>
        </is>
      </c>
      <c r="B34" s="2" t="inlineStr">
        <is>
          <t>부산</t>
        </is>
      </c>
      <c r="C34" s="2" t="inlineStr">
        <is>
          <t>클럽디오아시스 스파&amp;워터파크</t>
        </is>
      </c>
      <c r="D34" s="2" t="inlineStr">
        <is>
          <t>클럽디오아시스 워터파크+찜질 통합권(10H)(9/1~9/30)</t>
        </is>
      </c>
      <c r="E34" s="2" t="inlineStr">
        <is>
          <t>대소공통</t>
        </is>
      </c>
      <c r="F34" s="2" t="inlineStr">
        <is>
          <t>주중+주말</t>
        </is>
      </c>
      <c r="G34" s="2" t="n">
        <v>54000</v>
      </c>
      <c r="H34" s="2" t="n">
        <v>31900</v>
      </c>
      <c r="I34" s="2" t="n">
        <v>41</v>
      </c>
      <c r="J34" s="2" t="inlineStr">
        <is>
          <t>2026-09-01</t>
        </is>
      </c>
      <c r="K34" s="2" t="inlineStr">
        <is>
          <t>2026-09-30</t>
        </is>
      </c>
      <c r="L34" s="2" t="inlineStr">
        <is>
          <t>LMS 문자</t>
        </is>
      </c>
    </row>
    <row r="35">
      <c r="A35" s="2" t="inlineStr">
        <is>
          <t>329497</t>
        </is>
      </c>
      <c r="B35" s="2" t="inlineStr">
        <is>
          <t>부산</t>
        </is>
      </c>
      <c r="C35" s="2" t="inlineStr">
        <is>
          <t>클럽디오아시스 스파&amp;워터파크</t>
        </is>
      </c>
      <c r="D35" s="2" t="inlineStr">
        <is>
          <t>클럽디오아시스 통합권 10회권(~11/30)</t>
        </is>
      </c>
      <c r="E35" s="2" t="inlineStr">
        <is>
          <t>대소공통</t>
        </is>
      </c>
      <c r="F35" s="2" t="inlineStr">
        <is>
          <t>주중+주말</t>
        </is>
      </c>
      <c r="G35" s="2" t="n">
        <v>540000</v>
      </c>
      <c r="H35" s="2" t="n">
        <v>220000</v>
      </c>
      <c r="I35" s="2" t="n">
        <v>59</v>
      </c>
      <c r="J35" s="2" t="inlineStr">
        <is>
          <t>2026-09-01</t>
        </is>
      </c>
      <c r="K35" s="2" t="inlineStr">
        <is>
          <t>2026-11-30</t>
        </is>
      </c>
      <c r="L35" s="2" t="inlineStr">
        <is>
          <t>LMS 문자</t>
        </is>
      </c>
    </row>
    <row r="36">
      <c r="A36" s="2" t="inlineStr">
        <is>
          <t>330379</t>
        </is>
      </c>
      <c r="B36" s="2" t="inlineStr">
        <is>
          <t>경북</t>
        </is>
      </c>
      <c r="C36" s="2" t="inlineStr">
        <is>
          <t>경주 뽀로로아쿠아빌리지 워터파크</t>
        </is>
      </c>
      <c r="D36" s="2" t="inlineStr">
        <is>
          <t>주중권 뽀로로아쿠아빌리지(10/1~10/30)</t>
        </is>
      </c>
      <c r="E36" s="2" t="inlineStr">
        <is>
          <t>대소공통</t>
        </is>
      </c>
      <c r="F36" s="2" t="inlineStr">
        <is>
          <t>주중</t>
        </is>
      </c>
      <c r="G36" s="2" t="n">
        <v>50000</v>
      </c>
      <c r="H36" s="2" t="n">
        <v>24900</v>
      </c>
      <c r="I36" s="2" t="n">
        <v>50</v>
      </c>
      <c r="J36" s="2" t="inlineStr">
        <is>
          <t>2026-10-01</t>
        </is>
      </c>
      <c r="K36" s="2" t="inlineStr">
        <is>
          <t>2026-10-30</t>
        </is>
      </c>
      <c r="L36" s="2" t="inlineStr">
        <is>
          <t>놀이의발견</t>
        </is>
      </c>
    </row>
    <row r="37">
      <c r="A37" s="2" t="inlineStr">
        <is>
          <t>330379</t>
        </is>
      </c>
      <c r="B37" s="2" t="inlineStr">
        <is>
          <t>경북</t>
        </is>
      </c>
      <c r="C37" s="2" t="inlineStr">
        <is>
          <t>경주 뽀로로아쿠아빌리지 워터파크</t>
        </is>
      </c>
      <c r="D37" s="2" t="inlineStr">
        <is>
          <t>주말권 뽀로로아쿠아빌리지(10/3 ~10/31)</t>
        </is>
      </c>
      <c r="E37" s="2" t="inlineStr">
        <is>
          <t>대소공통</t>
        </is>
      </c>
      <c r="F37" s="2" t="inlineStr">
        <is>
          <t>주말</t>
        </is>
      </c>
      <c r="G37" s="2" t="n">
        <v>50000</v>
      </c>
      <c r="H37" s="2" t="n">
        <v>28900</v>
      </c>
      <c r="I37" s="2" t="n">
        <v>42</v>
      </c>
      <c r="J37" s="2" t="inlineStr">
        <is>
          <t>2026-10-03</t>
        </is>
      </c>
      <c r="K37" s="2" t="inlineStr">
        <is>
          <t>2026-10-31</t>
        </is>
      </c>
      <c r="L37" s="2" t="inlineStr">
        <is>
          <t>놀이의발견</t>
        </is>
      </c>
    </row>
    <row r="38">
      <c r="A38" s="2" t="inlineStr">
        <is>
          <t>325268</t>
        </is>
      </c>
      <c r="B38" s="2" t="inlineStr">
        <is>
          <t>화순</t>
        </is>
      </c>
      <c r="C38" s="2" t="inlineStr">
        <is>
          <t>화순아쿠아나</t>
        </is>
      </c>
      <c r="D38" s="2" t="inlineStr">
        <is>
          <t>주중종일권 비수기 화순아쿠아나(8/31~12/31)</t>
        </is>
      </c>
      <c r="E38" s="2" t="inlineStr">
        <is>
          <t>대소공통</t>
        </is>
      </c>
      <c r="F38" s="2" t="inlineStr">
        <is>
          <t>주중</t>
        </is>
      </c>
      <c r="G38" s="2" t="n">
        <v>55000</v>
      </c>
      <c r="H38" s="2" t="n">
        <v>18000</v>
      </c>
      <c r="I38" s="2" t="n">
        <v>67</v>
      </c>
      <c r="J38" s="2" t="inlineStr">
        <is>
          <t>2026-08-31</t>
        </is>
      </c>
      <c r="K38" s="2" t="inlineStr">
        <is>
          <t>2026-12-31</t>
        </is>
      </c>
      <c r="L38" s="2" t="inlineStr">
        <is>
          <t>LMS 문자/순차 발송</t>
        </is>
      </c>
    </row>
    <row r="39">
      <c r="A39" s="2" t="inlineStr">
        <is>
          <t>325268</t>
        </is>
      </c>
      <c r="B39" s="2" t="inlineStr">
        <is>
          <t>화순</t>
        </is>
      </c>
      <c r="C39" s="2" t="inlineStr">
        <is>
          <t>화순아쿠아나</t>
        </is>
      </c>
      <c r="D39" s="2" t="inlineStr">
        <is>
          <t>주말종일권 비수기 화순아쿠아나(8/31~12/31)</t>
        </is>
      </c>
      <c r="E39" s="2" t="inlineStr">
        <is>
          <t>대소공통</t>
        </is>
      </c>
      <c r="F39" s="2" t="inlineStr">
        <is>
          <t>주말</t>
        </is>
      </c>
      <c r="G39" s="2" t="n">
        <v>55000</v>
      </c>
      <c r="H39" s="2" t="n">
        <v>21000</v>
      </c>
      <c r="I39" s="2" t="n">
        <v>62</v>
      </c>
      <c r="J39" s="2" t="inlineStr">
        <is>
          <t>2026-08-31</t>
        </is>
      </c>
      <c r="K39" s="2" t="inlineStr">
        <is>
          <t>2026-12-31</t>
        </is>
      </c>
      <c r="L39" s="2" t="inlineStr">
        <is>
          <t>LMS 문자/순차 발송</t>
        </is>
      </c>
    </row>
    <row r="40">
      <c r="A40" s="2" t="inlineStr">
        <is>
          <t>326591</t>
        </is>
      </c>
      <c r="B40" s="2" t="inlineStr">
        <is>
          <t>서울</t>
        </is>
      </c>
      <c r="C40" s="2" t="inlineStr">
        <is>
          <t>씨랄라 워터파크</t>
        </is>
      </c>
      <c r="D40" s="2" t="inlineStr">
        <is>
          <t>대소공통 종일권 씨랄라 워터파크(9/1~10/31)</t>
        </is>
      </c>
      <c r="E40" s="2" t="inlineStr">
        <is>
          <t>대소공통</t>
        </is>
      </c>
      <c r="F40" s="2" t="inlineStr">
        <is>
          <t>주말</t>
        </is>
      </c>
      <c r="G40" s="2" t="n">
        <v>40000</v>
      </c>
      <c r="H40" s="2" t="n">
        <v>24900</v>
      </c>
      <c r="I40" s="2" t="n">
        <v>38</v>
      </c>
      <c r="J40" s="2" t="inlineStr">
        <is>
          <t>2026-09-01</t>
        </is>
      </c>
      <c r="K40" s="2" t="inlineStr">
        <is>
          <t>2026-10-31</t>
        </is>
      </c>
      <c r="L40" s="2" t="inlineStr">
        <is>
          <t>LMS 문자</t>
        </is>
      </c>
    </row>
    <row r="41">
      <c r="A41" s="2" t="inlineStr">
        <is>
          <t>326591</t>
        </is>
      </c>
      <c r="B41" s="2" t="inlineStr">
        <is>
          <t>서울</t>
        </is>
      </c>
      <c r="C41" s="2" t="inlineStr">
        <is>
          <t>씨랄라 워터파크</t>
        </is>
      </c>
      <c r="D41" s="2" t="inlineStr">
        <is>
          <t>대소공통 오후권(AFTER3) 씨랄라 워터파크(9/1~10/31)</t>
        </is>
      </c>
      <c r="E41" s="2" t="inlineStr">
        <is>
          <t>대소공통</t>
        </is>
      </c>
      <c r="F41" s="2" t="inlineStr">
        <is>
          <t>주말</t>
        </is>
      </c>
      <c r="G41" s="2" t="n">
        <v>40000</v>
      </c>
      <c r="H41" s="2" t="n">
        <v>18900</v>
      </c>
      <c r="I41" s="2" t="n">
        <v>53</v>
      </c>
      <c r="J41" s="2" t="inlineStr">
        <is>
          <t>2026-09-01</t>
        </is>
      </c>
      <c r="K41" s="2" t="inlineStr">
        <is>
          <t>2026-10-31</t>
        </is>
      </c>
      <c r="L41" s="2" t="inlineStr">
        <is>
          <t>LMS 문자</t>
        </is>
      </c>
    </row>
    <row r="42">
      <c r="A42" s="2" t="inlineStr">
        <is>
          <t>330316</t>
        </is>
      </c>
      <c r="B42" s="2" t="inlineStr">
        <is>
          <t>제주</t>
        </is>
      </c>
      <c r="C42" s="2" t="inlineStr">
        <is>
          <t>제주아쿠아나</t>
        </is>
      </c>
      <c r="D42" s="2" t="inlineStr">
        <is>
          <t>이용권 제주아쿠아나(~11/30)</t>
        </is>
      </c>
      <c r="E42" s="2" t="inlineStr">
        <is>
          <t>대소공통</t>
        </is>
      </c>
      <c r="F42" s="2" t="inlineStr">
        <is>
          <t>주중+주말</t>
        </is>
      </c>
      <c r="G42" s="2" t="n">
        <v>35000</v>
      </c>
      <c r="H42" s="2" t="n">
        <v>18000</v>
      </c>
      <c r="I42" s="2" t="n">
        <v>49</v>
      </c>
      <c r="J42" s="2" t="inlineStr">
        <is>
          <t>2026-06-29</t>
        </is>
      </c>
      <c r="K42" s="2" t="inlineStr">
        <is>
          <t>2026-11-30</t>
        </is>
      </c>
      <c r="L42" s="2" t="inlineStr">
        <is>
          <t>LMS 문자/순차 발송</t>
        </is>
      </c>
    </row>
    <row r="43">
      <c r="A43" s="2" t="inlineStr">
        <is>
          <t>328292</t>
        </is>
      </c>
      <c r="B43" s="2" t="inlineStr">
        <is>
          <t>부산</t>
        </is>
      </c>
      <c r="C43" s="2" t="inlineStr">
        <is>
          <t>센텀 스파랜드</t>
        </is>
      </c>
      <c r="D43" s="2" t="inlineStr">
        <is>
          <t>4시간이용권 센텀스파랜드(~10/29)</t>
        </is>
      </c>
      <c r="E43" s="2" t="inlineStr">
        <is>
          <t>대소공통</t>
        </is>
      </c>
      <c r="F43" s="2" t="inlineStr">
        <is>
          <t>주중+주말</t>
        </is>
      </c>
      <c r="G43" s="2" t="n">
        <v>26000</v>
      </c>
      <c r="H43" s="2" t="n">
        <v>20500</v>
      </c>
      <c r="I43" s="2" t="n">
        <v>21</v>
      </c>
      <c r="J43" s="2" t="inlineStr">
        <is>
          <t>2026-07-01</t>
        </is>
      </c>
      <c r="K43" s="2" t="inlineStr">
        <is>
          <t>2026-10-29</t>
        </is>
      </c>
      <c r="L43" s="2" t="inlineStr">
        <is>
          <t>LMS 문자/순차 발송</t>
        </is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inlineStr">
        <is>
          <t>과거 매출 상위 10곳</t>
        </is>
      </c>
      <c r="B45" s="2" t="inlineStr">
        <is>
          <t>검색어(상품명)</t>
        </is>
      </c>
      <c r="C45" s="2" t="inlineStr">
        <is>
          <t>판매 상품 수</t>
        </is>
      </c>
      <c r="D45" s="2" t="inlineStr">
        <is>
          <t>판매 여부</t>
        </is>
      </c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inlineStr">
        <is>
          <t>원마운트</t>
        </is>
      </c>
      <c r="B46" s="2" t="inlineStr">
        <is>
          <t>원마운트</t>
        </is>
      </c>
      <c r="C46" s="2">
        <f>COUNTIFS(상품목록!$G$2:$G$101,"*"&amp;B46&amp;"*",상품목록!$B$2:$B$101,"워터파크")</f>
        <v/>
      </c>
      <c r="D46" s="2">
        <f>IF(C46&gt;0,"판매 중","미판매")</f>
        <v/>
      </c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inlineStr">
        <is>
          <t>테르메덴</t>
        </is>
      </c>
      <c r="B47" s="2" t="inlineStr">
        <is>
          <t>테르메덴</t>
        </is>
      </c>
      <c r="C47" s="2">
        <f>COUNTIFS(상품목록!$G$2:$G$101,"*"&amp;B47&amp;"*",상품목록!$B$2:$B$101,"워터파크")</f>
        <v/>
      </c>
      <c r="D47" s="2">
        <f>IF(C47&gt;0,"판매 중","미판매")</f>
        <v/>
      </c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inlineStr">
        <is>
          <t>파라다이스 스파도고</t>
        </is>
      </c>
      <c r="B48" s="2" t="inlineStr">
        <is>
          <t>스파 도고</t>
        </is>
      </c>
      <c r="C48" s="2">
        <f>COUNTIFS(상품목록!$G$2:$G$101,"*"&amp;B48&amp;"*",상품목록!$B$2:$B$101,"워터파크")</f>
        <v/>
      </c>
      <c r="D48" s="2">
        <f>IF(C48&gt;0,"판매 중","미판매")</f>
        <v/>
      </c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inlineStr">
        <is>
          <t>아산스파비스</t>
        </is>
      </c>
      <c r="B49" s="2" t="inlineStr">
        <is>
          <t>스파비스</t>
        </is>
      </c>
      <c r="C49" s="2">
        <f>COUNTIFS(상품목록!$G$2:$G$101,"*"&amp;B49&amp;"*",상품목록!$B$2:$B$101,"워터파크")</f>
        <v/>
      </c>
      <c r="D49" s="2">
        <f>IF(C49&gt;0,"판매 중","미판매")</f>
        <v/>
      </c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inlineStr">
        <is>
          <t>웅진플레이도시</t>
        </is>
      </c>
      <c r="B50" s="2" t="inlineStr">
        <is>
          <t>웅진플레이도시</t>
        </is>
      </c>
      <c r="C50" s="2">
        <f>COUNTIFS(상품목록!$G$2:$G$101,"*"&amp;B50&amp;"*",상품목록!$B$2:$B$101,"워터파크")</f>
        <v/>
      </c>
      <c r="D50" s="2">
        <f>IF(C50&gt;0,"판매 중","미판매")</f>
        <v/>
      </c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inlineStr">
        <is>
          <t>씨랄라</t>
        </is>
      </c>
      <c r="B51" s="2" t="inlineStr">
        <is>
          <t>씨랄라</t>
        </is>
      </c>
      <c r="C51" s="2">
        <f>COUNTIFS(상품목록!$G$2:$G$101,"*"&amp;B51&amp;"*",상품목록!$B$2:$B$101,"워터파크")</f>
        <v/>
      </c>
      <c r="D51" s="2">
        <f>IF(C51&gt;0,"판매 중","미판매")</f>
        <v/>
      </c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inlineStr">
        <is>
          <t>썬밸리</t>
        </is>
      </c>
      <c r="B52" s="2" t="inlineStr">
        <is>
          <t>썬밸리</t>
        </is>
      </c>
      <c r="C52" s="2">
        <f>COUNTIFS(상품목록!$G$2:$G$101,"*"&amp;B52&amp;"*",상품목록!$B$2:$B$101,"워터파크")</f>
        <v/>
      </c>
      <c r="D52" s="2">
        <f>IF(C52&gt;0,"판매 중","미판매")</f>
        <v/>
      </c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inlineStr">
        <is>
          <t>아쿠아필드</t>
        </is>
      </c>
      <c r="B53" s="2" t="inlineStr">
        <is>
          <t>아쿠아필드</t>
        </is>
      </c>
      <c r="C53" s="2">
        <f>COUNTIFS(상품목록!$G$2:$G$101,"*"&amp;B53&amp;"*",상품목록!$B$2:$B$101,"워터파크")</f>
        <v/>
      </c>
      <c r="D53" s="2">
        <f>IF(C53&gt;0,"판매 중","미판매")</f>
        <v/>
      </c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inlineStr">
        <is>
          <t>스플라스리솜</t>
        </is>
      </c>
      <c r="B54" s="2" t="inlineStr">
        <is>
          <t>스플라스</t>
        </is>
      </c>
      <c r="C54" s="2">
        <f>COUNTIFS(상품목록!$G$2:$G$101,"*"&amp;B54&amp;"*",상품목록!$B$2:$B$101,"워터파크")</f>
        <v/>
      </c>
      <c r="D54" s="2">
        <f>IF(C54&gt;0,"판매 중","미판매")</f>
        <v/>
      </c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inlineStr">
        <is>
          <t>포레스트리솜</t>
        </is>
      </c>
      <c r="B55" s="2" t="inlineStr">
        <is>
          <t>포레스트 리솜</t>
        </is>
      </c>
      <c r="C55" s="2">
        <f>COUNTIFS(상품목록!$G$2:$G$101,"*"&amp;B55&amp;"*",상품목록!$B$2:$B$101,"워터파크")</f>
        <v/>
      </c>
      <c r="D55" s="2">
        <f>IF(C55&gt;0,"판매 중","미판매")</f>
        <v/>
      </c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inlineStr">
        <is>
          <t>판매 상품 수 = 상품목록에서 cat1=워터파크이고 name에 검색어가 들어간 상품 수(수식). 과거 매출 순위는 작업지시서 제공 정보.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발송채널(issue_channel)</t>
        </is>
      </c>
      <c r="B1" s="1" t="inlineStr">
        <is>
          <t>상품 수</t>
        </is>
      </c>
      <c r="C1" s="1" t="inlineStr">
        <is>
          <t>비중</t>
        </is>
      </c>
      <c r="D1" s="1" t="inlineStr">
        <is>
          <t>즉시발송</t>
        </is>
      </c>
      <c r="E1" s="1" t="inlineStr">
        <is>
          <t>예약필수</t>
        </is>
      </c>
      <c r="F1" s="1" t="inlineStr">
        <is>
          <t>예약대기</t>
        </is>
      </c>
      <c r="G1" s="1" t="inlineStr">
        <is>
          <t>평균 할인율(%)</t>
        </is>
      </c>
    </row>
    <row r="2">
      <c r="A2" s="2" t="inlineStr">
        <is>
          <t>H2OKR</t>
        </is>
      </c>
      <c r="B2" s="2">
        <f>COUNTIF(상품목록!$S$2:$S$101,A2)</f>
        <v/>
      </c>
      <c r="C2" s="4">
        <f>B2/COUNTA(상품목록!$A$2:$A$101)</f>
        <v/>
      </c>
      <c r="D2" s="2">
        <f>COUNTIFS(상품목록!$S$2:$S$101,A2,상품목록!$R$2:$R$101,"즉시발송")</f>
        <v/>
      </c>
      <c r="E2" s="2">
        <f>COUNTIFS(상품목록!$S$2:$S$101,A2,상품목록!$R$2:$R$101,"예약필수")</f>
        <v/>
      </c>
      <c r="F2" s="2">
        <f>COUNTIFS(상품목록!$S$2:$S$101,A2,상품목록!$R$2:$R$101,"예약대기")</f>
        <v/>
      </c>
      <c r="G2" s="2">
        <f>IFERROR(ROUND(AVERAGEIFS(상품목록!$K$2:$K$101,상품목록!$S$2:$S$101,A2,상품목록!$AC$2:$AC$101,"Y"),1),"-")</f>
        <v/>
      </c>
    </row>
    <row r="3">
      <c r="A3" s="2" t="inlineStr">
        <is>
          <t>놀이의발견</t>
        </is>
      </c>
      <c r="B3" s="2">
        <f>COUNTIF(상품목록!$S$2:$S$101,A3)</f>
        <v/>
      </c>
      <c r="C3" s="4">
        <f>B3/COUNTA(상품목록!$A$2:$A$101)</f>
        <v/>
      </c>
      <c r="D3" s="2">
        <f>COUNTIFS(상품목록!$S$2:$S$101,A3,상품목록!$R$2:$R$101,"즉시발송")</f>
        <v/>
      </c>
      <c r="E3" s="2">
        <f>COUNTIFS(상품목록!$S$2:$S$101,A3,상품목록!$R$2:$R$101,"예약필수")</f>
        <v/>
      </c>
      <c r="F3" s="2">
        <f>COUNTIFS(상품목록!$S$2:$S$101,A3,상품목록!$R$2:$R$101,"예약대기")</f>
        <v/>
      </c>
      <c r="G3" s="2">
        <f>IFERROR(ROUND(AVERAGEIFS(상품목록!$K$2:$K$101,상품목록!$S$2:$S$101,A3,상품목록!$AC$2:$AC$101,"Y"),1),"-")</f>
        <v/>
      </c>
    </row>
    <row r="4">
      <c r="A4" s="2" t="inlineStr">
        <is>
          <t>스마트인피니_발송</t>
        </is>
      </c>
      <c r="B4" s="2">
        <f>COUNTIF(상품목록!$S$2:$S$101,A4)</f>
        <v/>
      </c>
      <c r="C4" s="4">
        <f>B4/COUNTA(상품목록!$A$2:$A$101)</f>
        <v/>
      </c>
      <c r="D4" s="2">
        <f>COUNTIFS(상품목록!$S$2:$S$101,A4,상품목록!$R$2:$R$101,"즉시발송")</f>
        <v/>
      </c>
      <c r="E4" s="2">
        <f>COUNTIFS(상품목록!$S$2:$S$101,A4,상품목록!$R$2:$R$101,"예약필수")</f>
        <v/>
      </c>
      <c r="F4" s="2">
        <f>COUNTIFS(상품목록!$S$2:$S$101,A4,상품목록!$R$2:$R$101,"예약대기")</f>
        <v/>
      </c>
      <c r="G4" s="2">
        <f>IFERROR(ROUND(AVERAGEIFS(상품목록!$K$2:$K$101,상품목록!$S$2:$S$101,A4,상품목록!$AC$2:$AC$101,"Y"),1),"-")</f>
        <v/>
      </c>
    </row>
    <row r="5">
      <c r="A5" s="2" t="inlineStr">
        <is>
          <t>엘에스컴퍼니</t>
        </is>
      </c>
      <c r="B5" s="2">
        <f>COUNTIF(상품목록!$S$2:$S$101,A5)</f>
        <v/>
      </c>
      <c r="C5" s="4">
        <f>B5/COUNTA(상품목록!$A$2:$A$101)</f>
        <v/>
      </c>
      <c r="D5" s="2">
        <f>COUNTIFS(상품목록!$S$2:$S$101,A5,상품목록!$R$2:$R$101,"즉시발송")</f>
        <v/>
      </c>
      <c r="E5" s="2">
        <f>COUNTIFS(상품목록!$S$2:$S$101,A5,상품목록!$R$2:$R$101,"예약필수")</f>
        <v/>
      </c>
      <c r="F5" s="2">
        <f>COUNTIFS(상품목록!$S$2:$S$101,A5,상품목록!$R$2:$R$101,"예약대기")</f>
        <v/>
      </c>
      <c r="G5" s="2">
        <f>IFERROR(ROUND(AVERAGEIFS(상품목록!$K$2:$K$101,상품목록!$S$2:$S$101,A5,상품목록!$AC$2:$AC$101,"Y"),1),"-")</f>
        <v/>
      </c>
    </row>
    <row r="6">
      <c r="A6" s="2" t="inlineStr">
        <is>
          <t>큐패스코리아</t>
        </is>
      </c>
      <c r="B6" s="2">
        <f>COUNTIF(상품목록!$S$2:$S$101,A6)</f>
        <v/>
      </c>
      <c r="C6" s="4">
        <f>B6/COUNTA(상품목록!$A$2:$A$101)</f>
        <v/>
      </c>
      <c r="D6" s="2">
        <f>COUNTIFS(상품목록!$S$2:$S$101,A6,상품목록!$R$2:$R$101,"즉시발송")</f>
        <v/>
      </c>
      <c r="E6" s="2">
        <f>COUNTIFS(상품목록!$S$2:$S$101,A6,상품목록!$R$2:$R$101,"예약필수")</f>
        <v/>
      </c>
      <c r="F6" s="2">
        <f>COUNTIFS(상품목록!$S$2:$S$101,A6,상품목록!$R$2:$R$101,"예약대기")</f>
        <v/>
      </c>
      <c r="G6" s="2">
        <f>IFERROR(ROUND(AVERAGEIFS(상품목록!$K$2:$K$101,상품목록!$S$2:$S$101,A6,상품목록!$AC$2:$AC$101,"Y"),1),"-")</f>
        <v/>
      </c>
    </row>
    <row r="7">
      <c r="A7" s="2" t="inlineStr">
        <is>
          <t>파라다이스 스파 도고</t>
        </is>
      </c>
      <c r="B7" s="2">
        <f>COUNTIF(상품목록!$S$2:$S$101,A7)</f>
        <v/>
      </c>
      <c r="C7" s="4">
        <f>B7/COUNTA(상품목록!$A$2:$A$101)</f>
        <v/>
      </c>
      <c r="D7" s="2">
        <f>COUNTIFS(상품목록!$S$2:$S$101,A7,상품목록!$R$2:$R$101,"즉시발송")</f>
        <v/>
      </c>
      <c r="E7" s="2">
        <f>COUNTIFS(상품목록!$S$2:$S$101,A7,상품목록!$R$2:$R$101,"예약필수")</f>
        <v/>
      </c>
      <c r="F7" s="2">
        <f>COUNTIFS(상품목록!$S$2:$S$101,A7,상품목록!$R$2:$R$101,"예약대기")</f>
        <v/>
      </c>
      <c r="G7" s="2">
        <f>IFERROR(ROUND(AVERAGEIFS(상품목록!$K$2:$K$101,상품목록!$S$2:$S$101,A7,상품목록!$AC$2:$AC$101,"Y"),1),"-")</f>
        <v/>
      </c>
    </row>
    <row r="8">
      <c r="A8" s="2" t="inlineStr">
        <is>
          <t>플레이스토리</t>
        </is>
      </c>
      <c r="B8" s="2">
        <f>COUNTIF(상품목록!$S$2:$S$101,A8)</f>
        <v/>
      </c>
      <c r="C8" s="4">
        <f>B8/COUNTA(상품목록!$A$2:$A$101)</f>
        <v/>
      </c>
      <c r="D8" s="2">
        <f>COUNTIFS(상품목록!$S$2:$S$101,A8,상품목록!$R$2:$R$101,"즉시발송")</f>
        <v/>
      </c>
      <c r="E8" s="2">
        <f>COUNTIFS(상품목록!$S$2:$S$101,A8,상품목록!$R$2:$R$101,"예약필수")</f>
        <v/>
      </c>
      <c r="F8" s="2">
        <f>COUNTIFS(상품목록!$S$2:$S$101,A8,상품목록!$R$2:$R$101,"예약대기")</f>
        <v/>
      </c>
      <c r="G8" s="2">
        <f>IFERROR(ROUND(AVERAGEIFS(상품목록!$K$2:$K$101,상품목록!$S$2:$S$101,A8,상품목록!$AC$2:$AC$101,"Y"),1),"-")</f>
        <v/>
      </c>
    </row>
    <row r="9">
      <c r="A9" s="2" t="inlineStr">
        <is>
          <t>(채널 표기 없음)</t>
        </is>
      </c>
      <c r="B9" s="2">
        <f>COUNTIF(상품목록!$S$2:$S$101,"")</f>
        <v/>
      </c>
      <c r="C9" s="4">
        <f>B9/COUNTA(상품목록!$A$2:$A$101)</f>
        <v/>
      </c>
      <c r="D9" s="2">
        <f>COUNTIFS(상품목록!$S$2:$S$101,"",상품목록!$R$2:$R$101,"즉시발송")</f>
        <v/>
      </c>
      <c r="E9" s="2">
        <f>COUNTIFS(상품목록!$S$2:$S$101,"",상품목록!$R$2:$R$101,"예약필수")</f>
        <v/>
      </c>
      <c r="F9" s="2">
        <f>COUNTIFS(상품목록!$S$2:$S$101,"",상품목록!$R$2:$R$101,"예약대기")</f>
        <v/>
      </c>
      <c r="G9" s="2">
        <f>IFERROR(ROUND(AVERAGEIFS(상품목록!$K$2:$K$101,상품목록!$S$2:$S$101,"",상품목록!$AC$2:$AC$101,"Y"),1),"-")</f>
        <v/>
      </c>
    </row>
    <row r="10">
      <c r="A10" s="2" t="inlineStr">
        <is>
          <t>합계</t>
        </is>
      </c>
      <c r="B10" s="2">
        <f>SUM(B2:B9)</f>
        <v/>
      </c>
      <c r="C10" s="4">
        <f>SUM(C2:C9)</f>
        <v/>
      </c>
      <c r="D10" s="2">
        <f>SUM(D2:D9)</f>
        <v/>
      </c>
      <c r="E10" s="2">
        <f>SUM(E2:E9)</f>
        <v/>
      </c>
      <c r="F10" s="2">
        <f>SUM(F2:F9)</f>
        <v/>
      </c>
      <c r="G10" s="2" t="inlineStr"/>
    </row>
    <row r="12">
      <c r="A12" t="inlineStr">
        <is>
          <t>발송채널 = 상품 안내문의 '카카오톡 발송채널 : ○○' 표기. 표기 없음은 LMS 문자 발송·예약상품·광고상품 등.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2026-09-30T04:55:44Z</dcterms:created>
  <dcterms:modified xmlns:dcterms="http://purl.org/dc/terms/" xmlns:xsi="http://www.w3.org/2001/XMLSchema-instance" xsi:type="dcterms:W3CDTF">2026-09-30T04:55:44Z</dcterms:modified>
</cp:coreProperties>
</file>